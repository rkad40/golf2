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eb\Rockne Invitational\golf-240608\etc\"/>
    </mc:Choice>
  </mc:AlternateContent>
  <xr:revisionPtr revIDLastSave="0" documentId="13_ncr:1_{8BCF874B-AABE-4977-B622-79BD210953FE}" xr6:coauthVersionLast="47" xr6:coauthVersionMax="47" xr10:uidLastSave="{00000000-0000-0000-0000-000000000000}"/>
  <bookViews>
    <workbookView xWindow="240" yWindow="480" windowWidth="23550" windowHeight="13485" xr2:uid="{00000000-000D-0000-FFFF-FFFF00000000}"/>
  </bookViews>
  <sheets>
    <sheet name="Tournament" sheetId="7" r:id="rId1"/>
    <sheet name="Players" sheetId="6" r:id="rId2"/>
    <sheet name="Mail Teams" sheetId="11" r:id="rId3"/>
    <sheet name="Historical" sheetId="1" r:id="rId4"/>
    <sheet name="Ratings" sheetId="2" r:id="rId5"/>
    <sheet name="Evaluation" sheetId="3" r:id="rId6"/>
    <sheet name="Calculator" sheetId="4" r:id="rId7"/>
    <sheet name="Expenses" sheetId="10" r:id="rId8"/>
    <sheet name="Email" sheetId="5" r:id="rId9"/>
  </sheets>
  <externalReferences>
    <externalReference r:id="rId10"/>
    <externalReference r:id="rId11"/>
  </externalReferences>
  <definedNames>
    <definedName name="_xlnm._FilterDatabase" localSheetId="1" hidden="1">Players!$A$1:$M$1</definedName>
    <definedName name="AllPlayers">[1]players!$A$4:$A$288</definedName>
    <definedName name="BaseCalcSelect" localSheetId="7">#REF!</definedName>
    <definedName name="BaseCalcSelect">#REF!</definedName>
    <definedName name="Objects" localSheetId="7">#REF!</definedName>
    <definedName name="Objects">#REF!</definedName>
    <definedName name="PlayerList" localSheetId="7">#REF!</definedName>
    <definedName name="PlayerList">#REF!</definedName>
    <definedName name="RatingSource2">[2]lists!$A$2:$A$3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10" l="1"/>
  <c r="I59" i="6"/>
  <c r="E59" i="6"/>
  <c r="I102" i="6"/>
  <c r="E102" i="6"/>
  <c r="F102" i="6" s="1"/>
  <c r="I35" i="6"/>
  <c r="E35" i="6"/>
  <c r="F35" i="6" s="1"/>
  <c r="I56" i="6"/>
  <c r="E56" i="6"/>
  <c r="F56" i="6" s="1"/>
  <c r="I54" i="6"/>
  <c r="E54" i="6"/>
  <c r="I47" i="6"/>
  <c r="E47" i="6"/>
  <c r="I50" i="6"/>
  <c r="E50" i="6"/>
  <c r="I48" i="6"/>
  <c r="E48" i="6"/>
  <c r="F48" i="6" s="1"/>
  <c r="I49" i="6"/>
  <c r="E49" i="6"/>
  <c r="F49" i="6" s="1"/>
  <c r="I68" i="6"/>
  <c r="E68" i="6"/>
  <c r="I16" i="6"/>
  <c r="E16" i="6"/>
  <c r="F16" i="6" s="1"/>
  <c r="I17" i="6"/>
  <c r="E17" i="6"/>
  <c r="I9" i="7"/>
  <c r="J9" i="7"/>
  <c r="K9" i="7"/>
  <c r="O9" i="7"/>
  <c r="P9" i="7"/>
  <c r="Q9" i="7"/>
  <c r="R9" i="7"/>
  <c r="S9" i="7"/>
  <c r="U9" i="7"/>
  <c r="I3" i="7"/>
  <c r="J3" i="7"/>
  <c r="K3" i="7"/>
  <c r="O3" i="7"/>
  <c r="P3" i="7"/>
  <c r="Q3" i="7"/>
  <c r="R3" i="7"/>
  <c r="S3" i="7"/>
  <c r="U3" i="7"/>
  <c r="I4" i="7"/>
  <c r="J4" i="7"/>
  <c r="K4" i="7"/>
  <c r="O4" i="7"/>
  <c r="P4" i="7"/>
  <c r="Q4" i="7"/>
  <c r="R4" i="7"/>
  <c r="S4" i="7"/>
  <c r="U4" i="7"/>
  <c r="I18" i="7"/>
  <c r="J18" i="7"/>
  <c r="K18" i="7"/>
  <c r="O18" i="7"/>
  <c r="P18" i="7"/>
  <c r="Q18" i="7"/>
  <c r="R18" i="7"/>
  <c r="S18" i="7"/>
  <c r="U18" i="7"/>
  <c r="I17" i="7"/>
  <c r="J17" i="7"/>
  <c r="K17" i="7"/>
  <c r="O17" i="7"/>
  <c r="P17" i="7"/>
  <c r="Q17" i="7"/>
  <c r="R17" i="7"/>
  <c r="S17" i="7"/>
  <c r="U17" i="7"/>
  <c r="I15" i="7"/>
  <c r="J15" i="7"/>
  <c r="K15" i="7"/>
  <c r="O15" i="7"/>
  <c r="P15" i="7"/>
  <c r="Q15" i="7"/>
  <c r="R15" i="7"/>
  <c r="S15" i="7"/>
  <c r="U15" i="7"/>
  <c r="I16" i="7"/>
  <c r="J16" i="7"/>
  <c r="K16" i="7"/>
  <c r="O16" i="7"/>
  <c r="P16" i="7"/>
  <c r="Q16" i="7"/>
  <c r="R16" i="7"/>
  <c r="S16" i="7"/>
  <c r="U16" i="7"/>
  <c r="I13" i="7"/>
  <c r="J13" i="7"/>
  <c r="K13" i="7"/>
  <c r="O13" i="7"/>
  <c r="P13" i="7"/>
  <c r="Q13" i="7"/>
  <c r="R13" i="7"/>
  <c r="S13" i="7"/>
  <c r="U13" i="7"/>
  <c r="I21" i="7"/>
  <c r="J21" i="7"/>
  <c r="K21" i="7"/>
  <c r="O21" i="7"/>
  <c r="P21" i="7"/>
  <c r="Q21" i="7"/>
  <c r="R21" i="7"/>
  <c r="S21" i="7"/>
  <c r="U21" i="7"/>
  <c r="I20" i="7"/>
  <c r="J20" i="7"/>
  <c r="K20" i="7"/>
  <c r="O20" i="7"/>
  <c r="P20" i="7"/>
  <c r="Q20" i="7"/>
  <c r="R20" i="7"/>
  <c r="S20" i="7"/>
  <c r="U20" i="7"/>
  <c r="I19" i="7"/>
  <c r="J19" i="7"/>
  <c r="K19" i="7"/>
  <c r="O19" i="7"/>
  <c r="P19" i="7"/>
  <c r="Q19" i="7"/>
  <c r="R19" i="7"/>
  <c r="S19" i="7"/>
  <c r="U19" i="7"/>
  <c r="I14" i="7"/>
  <c r="J14" i="7"/>
  <c r="K14" i="7"/>
  <c r="O14" i="7"/>
  <c r="P14" i="7"/>
  <c r="Q14" i="7"/>
  <c r="R14" i="7"/>
  <c r="S14" i="7"/>
  <c r="U14" i="7"/>
  <c r="I11" i="7"/>
  <c r="J11" i="7"/>
  <c r="K11" i="7"/>
  <c r="O11" i="7"/>
  <c r="P11" i="7"/>
  <c r="Q11" i="7"/>
  <c r="R11" i="7"/>
  <c r="S11" i="7"/>
  <c r="U11" i="7"/>
  <c r="I12" i="7"/>
  <c r="J12" i="7"/>
  <c r="K12" i="7"/>
  <c r="O12" i="7"/>
  <c r="P12" i="7"/>
  <c r="Q12" i="7"/>
  <c r="R12" i="7"/>
  <c r="S12" i="7"/>
  <c r="U12" i="7"/>
  <c r="I5" i="7"/>
  <c r="J5" i="7"/>
  <c r="K5" i="7"/>
  <c r="O5" i="7"/>
  <c r="P5" i="7"/>
  <c r="Q5" i="7"/>
  <c r="R5" i="7"/>
  <c r="S5" i="7"/>
  <c r="U5" i="7"/>
  <c r="I22" i="7"/>
  <c r="J22" i="7"/>
  <c r="K22" i="7"/>
  <c r="O22" i="7"/>
  <c r="P22" i="7"/>
  <c r="Q22" i="7"/>
  <c r="R22" i="7"/>
  <c r="S22" i="7"/>
  <c r="U22" i="7"/>
  <c r="I10" i="7"/>
  <c r="J10" i="7"/>
  <c r="K10" i="7"/>
  <c r="O10" i="7"/>
  <c r="P10" i="7"/>
  <c r="Q10" i="7"/>
  <c r="R10" i="7"/>
  <c r="S10" i="7"/>
  <c r="U10" i="7"/>
  <c r="I7" i="7"/>
  <c r="J7" i="7"/>
  <c r="K7" i="7"/>
  <c r="O7" i="7"/>
  <c r="P7" i="7"/>
  <c r="Q7" i="7"/>
  <c r="R7" i="7"/>
  <c r="S7" i="7"/>
  <c r="U7" i="7"/>
  <c r="I2" i="7"/>
  <c r="J2" i="7"/>
  <c r="K2" i="7"/>
  <c r="O2" i="7"/>
  <c r="P2" i="7"/>
  <c r="Q2" i="7"/>
  <c r="R2" i="7"/>
  <c r="S2" i="7"/>
  <c r="U2" i="7"/>
  <c r="I8" i="7"/>
  <c r="J8" i="7"/>
  <c r="K8" i="7"/>
  <c r="O8" i="7"/>
  <c r="P8" i="7"/>
  <c r="Q8" i="7"/>
  <c r="R8" i="7"/>
  <c r="S8" i="7"/>
  <c r="U8" i="7"/>
  <c r="I6" i="7"/>
  <c r="J6" i="7"/>
  <c r="K6" i="7"/>
  <c r="O6" i="7"/>
  <c r="P6" i="7"/>
  <c r="Q6" i="7"/>
  <c r="R6" i="7"/>
  <c r="S6" i="7"/>
  <c r="U6" i="7"/>
  <c r="I23" i="7"/>
  <c r="J23" i="7"/>
  <c r="K23" i="7"/>
  <c r="M23" i="7"/>
  <c r="T23" i="7" s="1"/>
  <c r="O23" i="7"/>
  <c r="P23" i="7"/>
  <c r="Q23" i="7"/>
  <c r="R23" i="7"/>
  <c r="S23" i="7"/>
  <c r="U23" i="7"/>
  <c r="I24" i="7"/>
  <c r="M24" i="7" s="1"/>
  <c r="T24" i="7" s="1"/>
  <c r="J24" i="7"/>
  <c r="K24" i="7"/>
  <c r="O24" i="7"/>
  <c r="P24" i="7"/>
  <c r="Q24" i="7"/>
  <c r="R24" i="7"/>
  <c r="S24" i="7"/>
  <c r="U24" i="7"/>
  <c r="I25" i="7"/>
  <c r="J25" i="7"/>
  <c r="K25" i="7"/>
  <c r="O25" i="7"/>
  <c r="P25" i="7"/>
  <c r="Q25" i="7"/>
  <c r="R25" i="7"/>
  <c r="S25" i="7"/>
  <c r="U25" i="7"/>
  <c r="I26" i="7"/>
  <c r="J26" i="7"/>
  <c r="K26" i="7"/>
  <c r="O26" i="7"/>
  <c r="P26" i="7"/>
  <c r="Q26" i="7"/>
  <c r="R26" i="7"/>
  <c r="S26" i="7"/>
  <c r="U26" i="7"/>
  <c r="I27" i="7"/>
  <c r="M27" i="7" s="1"/>
  <c r="T27" i="7" s="1"/>
  <c r="J27" i="7"/>
  <c r="K27" i="7"/>
  <c r="O27" i="7"/>
  <c r="P27" i="7"/>
  <c r="Q27" i="7"/>
  <c r="R27" i="7"/>
  <c r="S27" i="7"/>
  <c r="U27" i="7"/>
  <c r="I28" i="7"/>
  <c r="M28" i="7" s="1"/>
  <c r="T28" i="7" s="1"/>
  <c r="J28" i="7"/>
  <c r="K28" i="7"/>
  <c r="O28" i="7"/>
  <c r="P28" i="7"/>
  <c r="Q28" i="7"/>
  <c r="R28" i="7"/>
  <c r="S28" i="7"/>
  <c r="U28" i="7"/>
  <c r="I29" i="7"/>
  <c r="J29" i="7"/>
  <c r="K29" i="7"/>
  <c r="O29" i="7"/>
  <c r="P29" i="7"/>
  <c r="Q29" i="7"/>
  <c r="R29" i="7"/>
  <c r="S29" i="7"/>
  <c r="U29" i="7"/>
  <c r="I30" i="7"/>
  <c r="M30" i="7" s="1"/>
  <c r="T30" i="7" s="1"/>
  <c r="J30" i="7"/>
  <c r="K30" i="7"/>
  <c r="O30" i="7"/>
  <c r="P30" i="7"/>
  <c r="Q30" i="7"/>
  <c r="R30" i="7"/>
  <c r="S30" i="7"/>
  <c r="U30" i="7"/>
  <c r="I31" i="7"/>
  <c r="M31" i="7" s="1"/>
  <c r="T31" i="7" s="1"/>
  <c r="J31" i="7"/>
  <c r="K31" i="7"/>
  <c r="O31" i="7"/>
  <c r="P31" i="7"/>
  <c r="Q31" i="7"/>
  <c r="R31" i="7"/>
  <c r="S31" i="7"/>
  <c r="U31" i="7"/>
  <c r="I32" i="7"/>
  <c r="M32" i="7" s="1"/>
  <c r="T32" i="7" s="1"/>
  <c r="J32" i="7"/>
  <c r="K32" i="7"/>
  <c r="O32" i="7"/>
  <c r="P32" i="7"/>
  <c r="Q32" i="7"/>
  <c r="R32" i="7"/>
  <c r="S32" i="7"/>
  <c r="U32" i="7"/>
  <c r="I33" i="7"/>
  <c r="M33" i="7" s="1"/>
  <c r="T33" i="7" s="1"/>
  <c r="J33" i="7"/>
  <c r="K33" i="7"/>
  <c r="O33" i="7"/>
  <c r="P33" i="7"/>
  <c r="Q33" i="7"/>
  <c r="R33" i="7"/>
  <c r="S33" i="7"/>
  <c r="U33" i="7"/>
  <c r="I34" i="7"/>
  <c r="M34" i="7" s="1"/>
  <c r="T34" i="7" s="1"/>
  <c r="J34" i="7"/>
  <c r="K34" i="7"/>
  <c r="O34" i="7"/>
  <c r="P34" i="7"/>
  <c r="Q34" i="7"/>
  <c r="R34" i="7"/>
  <c r="S34" i="7"/>
  <c r="U34" i="7"/>
  <c r="I35" i="7"/>
  <c r="M35" i="7" s="1"/>
  <c r="T35" i="7" s="1"/>
  <c r="J35" i="7"/>
  <c r="K35" i="7"/>
  <c r="O35" i="7"/>
  <c r="P35" i="7"/>
  <c r="Q35" i="7"/>
  <c r="R35" i="7"/>
  <c r="S35" i="7"/>
  <c r="U35" i="7"/>
  <c r="I36" i="7"/>
  <c r="M36" i="7" s="1"/>
  <c r="T36" i="7" s="1"/>
  <c r="J36" i="7"/>
  <c r="K36" i="7"/>
  <c r="O36" i="7"/>
  <c r="P36" i="7"/>
  <c r="Q36" i="7"/>
  <c r="R36" i="7"/>
  <c r="S36" i="7"/>
  <c r="U36" i="7"/>
  <c r="I37" i="7"/>
  <c r="J37" i="7"/>
  <c r="K37" i="7"/>
  <c r="O37" i="7"/>
  <c r="P37" i="7"/>
  <c r="Q37" i="7"/>
  <c r="R37" i="7"/>
  <c r="S37" i="7"/>
  <c r="U37" i="7"/>
  <c r="I38" i="7"/>
  <c r="J38" i="7"/>
  <c r="K38" i="7"/>
  <c r="M38" i="7" s="1"/>
  <c r="T38" i="7" s="1"/>
  <c r="O38" i="7"/>
  <c r="P38" i="7"/>
  <c r="Q38" i="7"/>
  <c r="R38" i="7"/>
  <c r="S38" i="7"/>
  <c r="U38" i="7"/>
  <c r="I39" i="7"/>
  <c r="M39" i="7" s="1"/>
  <c r="T39" i="7" s="1"/>
  <c r="J39" i="7"/>
  <c r="K39" i="7"/>
  <c r="O39" i="7"/>
  <c r="P39" i="7"/>
  <c r="Q39" i="7"/>
  <c r="R39" i="7"/>
  <c r="S39" i="7"/>
  <c r="U39" i="7"/>
  <c r="I40" i="7"/>
  <c r="M40" i="7" s="1"/>
  <c r="T40" i="7" s="1"/>
  <c r="J40" i="7"/>
  <c r="K40" i="7"/>
  <c r="O40" i="7"/>
  <c r="P40" i="7"/>
  <c r="Q40" i="7"/>
  <c r="R40" i="7"/>
  <c r="S40" i="7"/>
  <c r="U40" i="7"/>
  <c r="I41" i="7"/>
  <c r="J41" i="7"/>
  <c r="K41" i="7"/>
  <c r="O41" i="7"/>
  <c r="P41" i="7"/>
  <c r="Q41" i="7"/>
  <c r="R41" i="7"/>
  <c r="S41" i="7"/>
  <c r="U41" i="7"/>
  <c r="I42" i="7"/>
  <c r="M42" i="7" s="1"/>
  <c r="T42" i="7" s="1"/>
  <c r="J42" i="7"/>
  <c r="K42" i="7"/>
  <c r="O42" i="7"/>
  <c r="P42" i="7"/>
  <c r="Q42" i="7"/>
  <c r="R42" i="7"/>
  <c r="S42" i="7"/>
  <c r="U42" i="7"/>
  <c r="I43" i="7"/>
  <c r="M43" i="7" s="1"/>
  <c r="T43" i="7" s="1"/>
  <c r="J43" i="7"/>
  <c r="K43" i="7"/>
  <c r="O43" i="7"/>
  <c r="P43" i="7"/>
  <c r="Q43" i="7"/>
  <c r="R43" i="7"/>
  <c r="S43" i="7"/>
  <c r="U43" i="7"/>
  <c r="I44" i="7"/>
  <c r="M44" i="7" s="1"/>
  <c r="T44" i="7" s="1"/>
  <c r="J44" i="7"/>
  <c r="K44" i="7"/>
  <c r="O44" i="7"/>
  <c r="P44" i="7"/>
  <c r="Q44" i="7"/>
  <c r="R44" i="7"/>
  <c r="S44" i="7"/>
  <c r="U44" i="7"/>
  <c r="I45" i="7"/>
  <c r="M45" i="7" s="1"/>
  <c r="T45" i="7" s="1"/>
  <c r="J45" i="7"/>
  <c r="K45" i="7"/>
  <c r="O45" i="7"/>
  <c r="P45" i="7"/>
  <c r="Q45" i="7"/>
  <c r="R45" i="7"/>
  <c r="S45" i="7"/>
  <c r="U45" i="7"/>
  <c r="I46" i="7"/>
  <c r="M46" i="7" s="1"/>
  <c r="T46" i="7" s="1"/>
  <c r="J46" i="7"/>
  <c r="K46" i="7"/>
  <c r="O46" i="7"/>
  <c r="P46" i="7"/>
  <c r="Q46" i="7"/>
  <c r="R46" i="7"/>
  <c r="S46" i="7"/>
  <c r="U46" i="7"/>
  <c r="I47" i="7"/>
  <c r="M47" i="7" s="1"/>
  <c r="T47" i="7" s="1"/>
  <c r="J47" i="7"/>
  <c r="K47" i="7"/>
  <c r="O47" i="7"/>
  <c r="P47" i="7"/>
  <c r="Q47" i="7"/>
  <c r="R47" i="7"/>
  <c r="S47" i="7"/>
  <c r="U47" i="7"/>
  <c r="I48" i="7"/>
  <c r="M48" i="7" s="1"/>
  <c r="T48" i="7" s="1"/>
  <c r="J48" i="7"/>
  <c r="K48" i="7"/>
  <c r="O48" i="7"/>
  <c r="P48" i="7"/>
  <c r="Q48" i="7"/>
  <c r="R48" i="7"/>
  <c r="S48" i="7"/>
  <c r="U48" i="7"/>
  <c r="I49" i="7"/>
  <c r="J49" i="7"/>
  <c r="K49" i="7"/>
  <c r="O49" i="7"/>
  <c r="P49" i="7"/>
  <c r="Q49" i="7"/>
  <c r="R49" i="7"/>
  <c r="S49" i="7"/>
  <c r="U49" i="7"/>
  <c r="I50" i="7"/>
  <c r="M50" i="7" s="1"/>
  <c r="T50" i="7" s="1"/>
  <c r="J50" i="7"/>
  <c r="K50" i="7"/>
  <c r="O50" i="7"/>
  <c r="P50" i="7"/>
  <c r="Q50" i="7"/>
  <c r="R50" i="7"/>
  <c r="S50" i="7"/>
  <c r="U50" i="7"/>
  <c r="I51" i="7"/>
  <c r="M51" i="7" s="1"/>
  <c r="T51" i="7" s="1"/>
  <c r="J51" i="7"/>
  <c r="K51" i="7"/>
  <c r="O51" i="7"/>
  <c r="P51" i="7"/>
  <c r="Q51" i="7"/>
  <c r="R51" i="7"/>
  <c r="S51" i="7"/>
  <c r="U51" i="7"/>
  <c r="I52" i="7"/>
  <c r="M52" i="7" s="1"/>
  <c r="T52" i="7" s="1"/>
  <c r="J52" i="7"/>
  <c r="K52" i="7"/>
  <c r="O52" i="7"/>
  <c r="P52" i="7"/>
  <c r="Q52" i="7"/>
  <c r="R52" i="7"/>
  <c r="S52" i="7"/>
  <c r="U52" i="7"/>
  <c r="I53" i="7"/>
  <c r="J53" i="7"/>
  <c r="K53" i="7"/>
  <c r="O53" i="7"/>
  <c r="P53" i="7"/>
  <c r="Q53" i="7"/>
  <c r="R53" i="7"/>
  <c r="S53" i="7"/>
  <c r="U53" i="7"/>
  <c r="I54" i="7"/>
  <c r="M54" i="7" s="1"/>
  <c r="T54" i="7" s="1"/>
  <c r="J54" i="7"/>
  <c r="K54" i="7"/>
  <c r="O54" i="7"/>
  <c r="P54" i="7"/>
  <c r="Q54" i="7"/>
  <c r="R54" i="7"/>
  <c r="S54" i="7"/>
  <c r="U54" i="7"/>
  <c r="I55" i="7"/>
  <c r="M55" i="7" s="1"/>
  <c r="T55" i="7" s="1"/>
  <c r="J55" i="7"/>
  <c r="K55" i="7"/>
  <c r="O55" i="7"/>
  <c r="P55" i="7"/>
  <c r="Q55" i="7"/>
  <c r="R55" i="7"/>
  <c r="S55" i="7"/>
  <c r="U55" i="7"/>
  <c r="I56" i="7"/>
  <c r="M56" i="7" s="1"/>
  <c r="T56" i="7" s="1"/>
  <c r="J56" i="7"/>
  <c r="K56" i="7"/>
  <c r="O56" i="7"/>
  <c r="P56" i="7"/>
  <c r="Q56" i="7"/>
  <c r="R56" i="7"/>
  <c r="S56" i="7"/>
  <c r="U56" i="7"/>
  <c r="I57" i="7"/>
  <c r="M57" i="7" s="1"/>
  <c r="T57" i="7" s="1"/>
  <c r="J57" i="7"/>
  <c r="K57" i="7"/>
  <c r="O57" i="7"/>
  <c r="P57" i="7"/>
  <c r="Q57" i="7"/>
  <c r="R57" i="7"/>
  <c r="S57" i="7"/>
  <c r="U57" i="7"/>
  <c r="I58" i="7"/>
  <c r="M58" i="7" s="1"/>
  <c r="T58" i="7" s="1"/>
  <c r="J58" i="7"/>
  <c r="K58" i="7"/>
  <c r="O58" i="7"/>
  <c r="P58" i="7"/>
  <c r="Q58" i="7"/>
  <c r="R58" i="7"/>
  <c r="S58" i="7"/>
  <c r="U58" i="7"/>
  <c r="I59" i="7"/>
  <c r="M59" i="7" s="1"/>
  <c r="T59" i="7" s="1"/>
  <c r="J59" i="7"/>
  <c r="K59" i="7"/>
  <c r="O59" i="7"/>
  <c r="P59" i="7"/>
  <c r="Q59" i="7"/>
  <c r="R59" i="7"/>
  <c r="S59" i="7"/>
  <c r="U59" i="7"/>
  <c r="I60" i="7"/>
  <c r="M60" i="7" s="1"/>
  <c r="T60" i="7" s="1"/>
  <c r="J60" i="7"/>
  <c r="K60" i="7"/>
  <c r="O60" i="7"/>
  <c r="P60" i="7"/>
  <c r="Q60" i="7"/>
  <c r="R60" i="7"/>
  <c r="S60" i="7"/>
  <c r="U60" i="7"/>
  <c r="I61" i="7"/>
  <c r="M61" i="7" s="1"/>
  <c r="J61" i="7"/>
  <c r="K61" i="7"/>
  <c r="O61" i="7"/>
  <c r="P61" i="7"/>
  <c r="Q61" i="7"/>
  <c r="R61" i="7"/>
  <c r="S61" i="7"/>
  <c r="T61" i="7"/>
  <c r="U61" i="7"/>
  <c r="I62" i="7"/>
  <c r="M62" i="7" s="1"/>
  <c r="T62" i="7" s="1"/>
  <c r="J62" i="7"/>
  <c r="K62" i="7"/>
  <c r="O62" i="7"/>
  <c r="P62" i="7"/>
  <c r="Q62" i="7"/>
  <c r="R62" i="7"/>
  <c r="S62" i="7"/>
  <c r="U62" i="7"/>
  <c r="I63" i="7"/>
  <c r="M63" i="7" s="1"/>
  <c r="T63" i="7" s="1"/>
  <c r="J63" i="7"/>
  <c r="K63" i="7"/>
  <c r="O63" i="7"/>
  <c r="P63" i="7"/>
  <c r="Q63" i="7"/>
  <c r="R63" i="7"/>
  <c r="S63" i="7"/>
  <c r="U63" i="7"/>
  <c r="I64" i="7"/>
  <c r="M64" i="7" s="1"/>
  <c r="T64" i="7" s="1"/>
  <c r="J64" i="7"/>
  <c r="K64" i="7"/>
  <c r="O64" i="7"/>
  <c r="P64" i="7"/>
  <c r="Q64" i="7"/>
  <c r="R64" i="7"/>
  <c r="S64" i="7"/>
  <c r="U64" i="7"/>
  <c r="I65" i="7"/>
  <c r="J65" i="7"/>
  <c r="K65" i="7"/>
  <c r="O65" i="7"/>
  <c r="P65" i="7"/>
  <c r="Q65" i="7"/>
  <c r="R65" i="7"/>
  <c r="S65" i="7"/>
  <c r="U65" i="7"/>
  <c r="I66" i="7"/>
  <c r="M66" i="7" s="1"/>
  <c r="T66" i="7" s="1"/>
  <c r="J66" i="7"/>
  <c r="K66" i="7"/>
  <c r="O66" i="7"/>
  <c r="P66" i="7"/>
  <c r="Q66" i="7"/>
  <c r="R66" i="7"/>
  <c r="S66" i="7"/>
  <c r="U66" i="7"/>
  <c r="I67" i="7"/>
  <c r="M67" i="7" s="1"/>
  <c r="T67" i="7" s="1"/>
  <c r="J67" i="7"/>
  <c r="K67" i="7"/>
  <c r="O67" i="7"/>
  <c r="P67" i="7"/>
  <c r="Q67" i="7"/>
  <c r="R67" i="7"/>
  <c r="S67" i="7"/>
  <c r="U67" i="7"/>
  <c r="I68" i="7"/>
  <c r="M68" i="7" s="1"/>
  <c r="T68" i="7" s="1"/>
  <c r="J68" i="7"/>
  <c r="K68" i="7"/>
  <c r="O68" i="7"/>
  <c r="P68" i="7"/>
  <c r="Q68" i="7"/>
  <c r="R68" i="7"/>
  <c r="S68" i="7"/>
  <c r="U68" i="7"/>
  <c r="I69" i="7"/>
  <c r="M69" i="7" s="1"/>
  <c r="T69" i="7" s="1"/>
  <c r="J69" i="7"/>
  <c r="K69" i="7"/>
  <c r="O69" i="7"/>
  <c r="P69" i="7"/>
  <c r="Q69" i="7"/>
  <c r="R69" i="7"/>
  <c r="S69" i="7"/>
  <c r="U69" i="7"/>
  <c r="I70" i="7"/>
  <c r="M70" i="7" s="1"/>
  <c r="T70" i="7" s="1"/>
  <c r="J70" i="7"/>
  <c r="K70" i="7"/>
  <c r="O70" i="7"/>
  <c r="P70" i="7"/>
  <c r="Q70" i="7"/>
  <c r="R70" i="7"/>
  <c r="S70" i="7"/>
  <c r="U70" i="7"/>
  <c r="I71" i="7"/>
  <c r="M71" i="7" s="1"/>
  <c r="T71" i="7" s="1"/>
  <c r="J71" i="7"/>
  <c r="K71" i="7"/>
  <c r="O71" i="7"/>
  <c r="P71" i="7"/>
  <c r="Q71" i="7"/>
  <c r="R71" i="7"/>
  <c r="S71" i="7"/>
  <c r="U71" i="7"/>
  <c r="I72" i="7"/>
  <c r="M72" i="7" s="1"/>
  <c r="T72" i="7" s="1"/>
  <c r="J72" i="7"/>
  <c r="K72" i="7"/>
  <c r="O72" i="7"/>
  <c r="P72" i="7"/>
  <c r="Q72" i="7"/>
  <c r="R72" i="7"/>
  <c r="S72" i="7"/>
  <c r="U72" i="7"/>
  <c r="I73" i="7"/>
  <c r="M73" i="7" s="1"/>
  <c r="J73" i="7"/>
  <c r="K73" i="7"/>
  <c r="O73" i="7"/>
  <c r="P73" i="7"/>
  <c r="Q73" i="7"/>
  <c r="R73" i="7"/>
  <c r="S73" i="7"/>
  <c r="T73" i="7"/>
  <c r="U73" i="7"/>
  <c r="I74" i="7"/>
  <c r="M74" i="7" s="1"/>
  <c r="T74" i="7" s="1"/>
  <c r="J74" i="7"/>
  <c r="K74" i="7"/>
  <c r="O74" i="7"/>
  <c r="P74" i="7"/>
  <c r="Q74" i="7"/>
  <c r="R74" i="7"/>
  <c r="S74" i="7"/>
  <c r="U74" i="7"/>
  <c r="I75" i="7"/>
  <c r="M75" i="7" s="1"/>
  <c r="T75" i="7" s="1"/>
  <c r="J75" i="7"/>
  <c r="K75" i="7"/>
  <c r="O75" i="7"/>
  <c r="P75" i="7"/>
  <c r="Q75" i="7"/>
  <c r="R75" i="7"/>
  <c r="S75" i="7"/>
  <c r="U75" i="7"/>
  <c r="I76" i="7"/>
  <c r="M76" i="7" s="1"/>
  <c r="T76" i="7" s="1"/>
  <c r="J76" i="7"/>
  <c r="K76" i="7"/>
  <c r="O76" i="7"/>
  <c r="P76" i="7"/>
  <c r="Q76" i="7"/>
  <c r="R76" i="7"/>
  <c r="S76" i="7"/>
  <c r="U76" i="7"/>
  <c r="I77" i="7"/>
  <c r="J77" i="7"/>
  <c r="K77" i="7"/>
  <c r="O77" i="7"/>
  <c r="P77" i="7"/>
  <c r="Q77" i="7"/>
  <c r="R77" i="7"/>
  <c r="S77" i="7"/>
  <c r="U77" i="7"/>
  <c r="I78" i="7"/>
  <c r="M78" i="7" s="1"/>
  <c r="T78" i="7" s="1"/>
  <c r="J78" i="7"/>
  <c r="K78" i="7"/>
  <c r="O78" i="7"/>
  <c r="P78" i="7"/>
  <c r="Q78" i="7"/>
  <c r="R78" i="7"/>
  <c r="S78" i="7"/>
  <c r="U78" i="7"/>
  <c r="I79" i="7"/>
  <c r="M79" i="7" s="1"/>
  <c r="T79" i="7" s="1"/>
  <c r="J79" i="7"/>
  <c r="K79" i="7"/>
  <c r="O79" i="7"/>
  <c r="P79" i="7"/>
  <c r="Q79" i="7"/>
  <c r="R79" i="7"/>
  <c r="S79" i="7"/>
  <c r="U79" i="7"/>
  <c r="I80" i="7"/>
  <c r="M80" i="7" s="1"/>
  <c r="T80" i="7" s="1"/>
  <c r="J80" i="7"/>
  <c r="K80" i="7"/>
  <c r="O80" i="7"/>
  <c r="P80" i="7"/>
  <c r="Q80" i="7"/>
  <c r="R80" i="7"/>
  <c r="S80" i="7"/>
  <c r="U80" i="7"/>
  <c r="I81" i="7"/>
  <c r="M81" i="7" s="1"/>
  <c r="T81" i="7" s="1"/>
  <c r="J81" i="7"/>
  <c r="K81" i="7"/>
  <c r="O81" i="7"/>
  <c r="P81" i="7"/>
  <c r="Q81" i="7"/>
  <c r="R81" i="7"/>
  <c r="S81" i="7"/>
  <c r="U81" i="7"/>
  <c r="I82" i="7"/>
  <c r="M82" i="7" s="1"/>
  <c r="T82" i="7" s="1"/>
  <c r="J82" i="7"/>
  <c r="K82" i="7"/>
  <c r="O82" i="7"/>
  <c r="P82" i="7"/>
  <c r="Q82" i="7"/>
  <c r="R82" i="7"/>
  <c r="S82" i="7"/>
  <c r="U82" i="7"/>
  <c r="I83" i="7"/>
  <c r="J83" i="7"/>
  <c r="K83" i="7"/>
  <c r="M83" i="7"/>
  <c r="T83" i="7" s="1"/>
  <c r="O83" i="7"/>
  <c r="P83" i="7"/>
  <c r="Q83" i="7"/>
  <c r="R83" i="7"/>
  <c r="S83" i="7"/>
  <c r="U83" i="7"/>
  <c r="I84" i="7"/>
  <c r="M84" i="7" s="1"/>
  <c r="T84" i="7" s="1"/>
  <c r="J84" i="7"/>
  <c r="K84" i="7"/>
  <c r="O84" i="7"/>
  <c r="P84" i="7"/>
  <c r="Q84" i="7"/>
  <c r="R84" i="7"/>
  <c r="S84" i="7"/>
  <c r="U84" i="7"/>
  <c r="I85" i="7"/>
  <c r="J85" i="7"/>
  <c r="K85" i="7"/>
  <c r="M85" i="7"/>
  <c r="O85" i="7"/>
  <c r="P85" i="7"/>
  <c r="Q85" i="7"/>
  <c r="R85" i="7"/>
  <c r="S85" i="7"/>
  <c r="T85" i="7"/>
  <c r="U85" i="7"/>
  <c r="I86" i="7"/>
  <c r="J86" i="7"/>
  <c r="K86" i="7"/>
  <c r="M86" i="7"/>
  <c r="T86" i="7" s="1"/>
  <c r="O86" i="7"/>
  <c r="P86" i="7"/>
  <c r="Q86" i="7"/>
  <c r="R86" i="7"/>
  <c r="S86" i="7"/>
  <c r="U86" i="7"/>
  <c r="I87" i="7"/>
  <c r="M87" i="7" s="1"/>
  <c r="T87" i="7" s="1"/>
  <c r="J87" i="7"/>
  <c r="K87" i="7"/>
  <c r="O87" i="7"/>
  <c r="P87" i="7"/>
  <c r="Q87" i="7"/>
  <c r="R87" i="7"/>
  <c r="S87" i="7"/>
  <c r="U87" i="7"/>
  <c r="I88" i="7"/>
  <c r="M88" i="7" s="1"/>
  <c r="T88" i="7" s="1"/>
  <c r="J88" i="7"/>
  <c r="K88" i="7"/>
  <c r="O88" i="7"/>
  <c r="P88" i="7"/>
  <c r="Q88" i="7"/>
  <c r="R88" i="7"/>
  <c r="S88" i="7"/>
  <c r="U88" i="7"/>
  <c r="I89" i="7"/>
  <c r="J89" i="7"/>
  <c r="K89" i="7"/>
  <c r="O89" i="7"/>
  <c r="P89" i="7"/>
  <c r="Q89" i="7"/>
  <c r="R89" i="7"/>
  <c r="S89" i="7"/>
  <c r="U89" i="7"/>
  <c r="I90" i="7"/>
  <c r="J90" i="7"/>
  <c r="K90" i="7"/>
  <c r="M90" i="7"/>
  <c r="T90" i="7" s="1"/>
  <c r="O90" i="7"/>
  <c r="P90" i="7"/>
  <c r="Q90" i="7"/>
  <c r="R90" i="7"/>
  <c r="S90" i="7"/>
  <c r="U90" i="7"/>
  <c r="I91" i="7"/>
  <c r="M91" i="7" s="1"/>
  <c r="T91" i="7" s="1"/>
  <c r="J91" i="7"/>
  <c r="K91" i="7"/>
  <c r="O91" i="7"/>
  <c r="P91" i="7"/>
  <c r="Q91" i="7"/>
  <c r="R91" i="7"/>
  <c r="S91" i="7"/>
  <c r="U91" i="7"/>
  <c r="I92" i="7"/>
  <c r="M92" i="7" s="1"/>
  <c r="T92" i="7" s="1"/>
  <c r="J92" i="7"/>
  <c r="K92" i="7"/>
  <c r="O92" i="7"/>
  <c r="P92" i="7"/>
  <c r="Q92" i="7"/>
  <c r="R92" i="7"/>
  <c r="S92" i="7"/>
  <c r="U92" i="7"/>
  <c r="I93" i="7"/>
  <c r="M93" i="7" s="1"/>
  <c r="T93" i="7" s="1"/>
  <c r="J93" i="7"/>
  <c r="K93" i="7"/>
  <c r="O93" i="7"/>
  <c r="P93" i="7"/>
  <c r="Q93" i="7"/>
  <c r="R93" i="7"/>
  <c r="S93" i="7"/>
  <c r="U93" i="7"/>
  <c r="I94" i="7"/>
  <c r="M94" i="7" s="1"/>
  <c r="T94" i="7" s="1"/>
  <c r="J94" i="7"/>
  <c r="K94" i="7"/>
  <c r="O94" i="7"/>
  <c r="P94" i="7"/>
  <c r="Q94" i="7"/>
  <c r="R94" i="7"/>
  <c r="S94" i="7"/>
  <c r="U94" i="7"/>
  <c r="I95" i="7"/>
  <c r="M95" i="7" s="1"/>
  <c r="T95" i="7" s="1"/>
  <c r="J95" i="7"/>
  <c r="K95" i="7"/>
  <c r="O95" i="7"/>
  <c r="P95" i="7"/>
  <c r="Q95" i="7"/>
  <c r="R95" i="7"/>
  <c r="S95" i="7"/>
  <c r="U95" i="7"/>
  <c r="I96" i="7"/>
  <c r="J96" i="7"/>
  <c r="K96" i="7"/>
  <c r="O96" i="7"/>
  <c r="P96" i="7"/>
  <c r="Q96" i="7"/>
  <c r="R96" i="7"/>
  <c r="S96" i="7"/>
  <c r="U96" i="7"/>
  <c r="I97" i="7"/>
  <c r="M97" i="7" s="1"/>
  <c r="J97" i="7"/>
  <c r="K97" i="7"/>
  <c r="O97" i="7"/>
  <c r="P97" i="7"/>
  <c r="Q97" i="7"/>
  <c r="R97" i="7"/>
  <c r="S97" i="7"/>
  <c r="T97" i="7"/>
  <c r="U97" i="7"/>
  <c r="I98" i="7"/>
  <c r="M98" i="7" s="1"/>
  <c r="T98" i="7" s="1"/>
  <c r="J98" i="7"/>
  <c r="K98" i="7"/>
  <c r="O98" i="7"/>
  <c r="P98" i="7"/>
  <c r="Q98" i="7"/>
  <c r="R98" i="7"/>
  <c r="S98" i="7"/>
  <c r="U98" i="7"/>
  <c r="I99" i="7"/>
  <c r="M99" i="7" s="1"/>
  <c r="T99" i="7" s="1"/>
  <c r="J99" i="7"/>
  <c r="K99" i="7"/>
  <c r="O99" i="7"/>
  <c r="P99" i="7"/>
  <c r="Q99" i="7"/>
  <c r="R99" i="7"/>
  <c r="S99" i="7"/>
  <c r="U99" i="7"/>
  <c r="I100" i="7"/>
  <c r="M100" i="7" s="1"/>
  <c r="T100" i="7" s="1"/>
  <c r="J100" i="7"/>
  <c r="K100" i="7"/>
  <c r="O100" i="7"/>
  <c r="P100" i="7"/>
  <c r="Q100" i="7"/>
  <c r="R100" i="7"/>
  <c r="S100" i="7"/>
  <c r="U100" i="7"/>
  <c r="I101" i="7"/>
  <c r="M101" i="7" s="1"/>
  <c r="T101" i="7" s="1"/>
  <c r="J101" i="7"/>
  <c r="K101" i="7"/>
  <c r="O101" i="7"/>
  <c r="P101" i="7"/>
  <c r="Q101" i="7"/>
  <c r="R101" i="7"/>
  <c r="S101" i="7"/>
  <c r="U101" i="7"/>
  <c r="I102" i="7"/>
  <c r="M102" i="7" s="1"/>
  <c r="T102" i="7" s="1"/>
  <c r="J102" i="7"/>
  <c r="K102" i="7"/>
  <c r="O102" i="7"/>
  <c r="P102" i="7"/>
  <c r="Q102" i="7"/>
  <c r="R102" i="7"/>
  <c r="S102" i="7"/>
  <c r="U102" i="7"/>
  <c r="I103" i="7"/>
  <c r="M103" i="7" s="1"/>
  <c r="J103" i="7"/>
  <c r="K103" i="7"/>
  <c r="O103" i="7"/>
  <c r="P103" i="7"/>
  <c r="Q103" i="7"/>
  <c r="R103" i="7"/>
  <c r="S103" i="7"/>
  <c r="T103" i="7"/>
  <c r="U103" i="7"/>
  <c r="I104" i="7"/>
  <c r="M104" i="7" s="1"/>
  <c r="T104" i="7" s="1"/>
  <c r="J104" i="7"/>
  <c r="K104" i="7"/>
  <c r="O104" i="7"/>
  <c r="P104" i="7"/>
  <c r="Q104" i="7"/>
  <c r="R104" i="7"/>
  <c r="S104" i="7"/>
  <c r="U104" i="7"/>
  <c r="I105" i="7"/>
  <c r="M105" i="7" s="1"/>
  <c r="T105" i="7" s="1"/>
  <c r="J105" i="7"/>
  <c r="K105" i="7"/>
  <c r="O105" i="7"/>
  <c r="P105" i="7"/>
  <c r="Q105" i="7"/>
  <c r="R105" i="7"/>
  <c r="S105" i="7"/>
  <c r="U105" i="7"/>
  <c r="I106" i="7"/>
  <c r="M106" i="7" s="1"/>
  <c r="T106" i="7" s="1"/>
  <c r="J106" i="7"/>
  <c r="K106" i="7"/>
  <c r="O106" i="7"/>
  <c r="P106" i="7"/>
  <c r="Q106" i="7"/>
  <c r="R106" i="7"/>
  <c r="S106" i="7"/>
  <c r="U106" i="7"/>
  <c r="I107" i="7"/>
  <c r="M107" i="7" s="1"/>
  <c r="T107" i="7" s="1"/>
  <c r="J107" i="7"/>
  <c r="K107" i="7"/>
  <c r="O107" i="7"/>
  <c r="P107" i="7"/>
  <c r="Q107" i="7"/>
  <c r="R107" i="7"/>
  <c r="S107" i="7"/>
  <c r="U107" i="7"/>
  <c r="I115" i="6"/>
  <c r="E115" i="6"/>
  <c r="I90" i="6"/>
  <c r="E90" i="6"/>
  <c r="I88" i="6"/>
  <c r="E88" i="6"/>
  <c r="I7" i="6"/>
  <c r="E7" i="6"/>
  <c r="I61" i="6"/>
  <c r="E61" i="6"/>
  <c r="I113" i="6"/>
  <c r="E113" i="6"/>
  <c r="F113" i="6" s="1"/>
  <c r="I87" i="6"/>
  <c r="E87" i="6"/>
  <c r="I62" i="6"/>
  <c r="E62" i="6"/>
  <c r="I21" i="6"/>
  <c r="E21" i="6"/>
  <c r="F21" i="6" s="1"/>
  <c r="I23" i="6"/>
  <c r="E23" i="6"/>
  <c r="I22" i="6"/>
  <c r="E22" i="6"/>
  <c r="F22" i="6" s="1"/>
  <c r="I27" i="6"/>
  <c r="E27" i="6"/>
  <c r="I14" i="6"/>
  <c r="E14" i="6"/>
  <c r="I15" i="6"/>
  <c r="E15" i="6"/>
  <c r="F15" i="6" s="1"/>
  <c r="I92" i="6"/>
  <c r="E92" i="6"/>
  <c r="I8" i="6"/>
  <c r="E8" i="6"/>
  <c r="I63" i="6"/>
  <c r="E63" i="6"/>
  <c r="F63" i="6" s="1"/>
  <c r="O108" i="7"/>
  <c r="P108" i="7"/>
  <c r="Q108" i="7"/>
  <c r="R108" i="7"/>
  <c r="S108" i="7"/>
  <c r="T108" i="7"/>
  <c r="U108" i="7"/>
  <c r="O109" i="7"/>
  <c r="P109" i="7"/>
  <c r="Q109" i="7"/>
  <c r="R109" i="7"/>
  <c r="S109" i="7"/>
  <c r="T109" i="7"/>
  <c r="U109" i="7"/>
  <c r="O110" i="7"/>
  <c r="P110" i="7"/>
  <c r="Q110" i="7"/>
  <c r="R110" i="7"/>
  <c r="S110" i="7"/>
  <c r="T110" i="7"/>
  <c r="U110" i="7"/>
  <c r="O111" i="7"/>
  <c r="P111" i="7"/>
  <c r="Q111" i="7"/>
  <c r="R111" i="7"/>
  <c r="S111" i="7"/>
  <c r="T111" i="7"/>
  <c r="U111" i="7"/>
  <c r="O112" i="7"/>
  <c r="P112" i="7"/>
  <c r="Q112" i="7"/>
  <c r="R112" i="7"/>
  <c r="S112" i="7"/>
  <c r="T112" i="7"/>
  <c r="U112" i="7"/>
  <c r="O113" i="7"/>
  <c r="P113" i="7"/>
  <c r="Q113" i="7"/>
  <c r="R113" i="7"/>
  <c r="S113" i="7"/>
  <c r="T113" i="7"/>
  <c r="U113" i="7"/>
  <c r="O114" i="7"/>
  <c r="P114" i="7"/>
  <c r="Q114" i="7"/>
  <c r="R114" i="7"/>
  <c r="S114" i="7"/>
  <c r="T114" i="7"/>
  <c r="U114" i="7"/>
  <c r="O115" i="7"/>
  <c r="P115" i="7"/>
  <c r="Q115" i="7"/>
  <c r="R115" i="7"/>
  <c r="S115" i="7"/>
  <c r="T115" i="7"/>
  <c r="U115" i="7"/>
  <c r="O116" i="7"/>
  <c r="P116" i="7"/>
  <c r="Q116" i="7"/>
  <c r="R116" i="7"/>
  <c r="S116" i="7"/>
  <c r="T116" i="7"/>
  <c r="U116" i="7"/>
  <c r="O117" i="7"/>
  <c r="P117" i="7"/>
  <c r="Q117" i="7"/>
  <c r="R117" i="7"/>
  <c r="S117" i="7"/>
  <c r="T117" i="7"/>
  <c r="U117" i="7"/>
  <c r="O118" i="7"/>
  <c r="P118" i="7"/>
  <c r="Q118" i="7"/>
  <c r="R118" i="7"/>
  <c r="S118" i="7"/>
  <c r="T118" i="7"/>
  <c r="U118" i="7"/>
  <c r="O119" i="7"/>
  <c r="P119" i="7"/>
  <c r="Q119" i="7"/>
  <c r="R119" i="7"/>
  <c r="S119" i="7"/>
  <c r="T119" i="7"/>
  <c r="U119" i="7"/>
  <c r="O120" i="7"/>
  <c r="P120" i="7"/>
  <c r="Q120" i="7"/>
  <c r="R120" i="7"/>
  <c r="S120" i="7"/>
  <c r="T120" i="7"/>
  <c r="U120" i="7"/>
  <c r="O121" i="7"/>
  <c r="P121" i="7"/>
  <c r="Q121" i="7"/>
  <c r="R121" i="7"/>
  <c r="S121" i="7"/>
  <c r="T121" i="7"/>
  <c r="U121" i="7"/>
  <c r="O122" i="7"/>
  <c r="P122" i="7"/>
  <c r="Q122" i="7"/>
  <c r="R122" i="7"/>
  <c r="S122" i="7"/>
  <c r="T122" i="7"/>
  <c r="U122" i="7"/>
  <c r="O123" i="7"/>
  <c r="P123" i="7"/>
  <c r="Q123" i="7"/>
  <c r="R123" i="7"/>
  <c r="S123" i="7"/>
  <c r="T123" i="7"/>
  <c r="U123" i="7"/>
  <c r="O124" i="7"/>
  <c r="P124" i="7"/>
  <c r="Q124" i="7"/>
  <c r="R124" i="7"/>
  <c r="S124" i="7"/>
  <c r="T124" i="7"/>
  <c r="U124" i="7"/>
  <c r="O125" i="7"/>
  <c r="P125" i="7"/>
  <c r="Q125" i="7"/>
  <c r="R125" i="7"/>
  <c r="S125" i="7"/>
  <c r="T125" i="7"/>
  <c r="U125" i="7"/>
  <c r="O126" i="7"/>
  <c r="P126" i="7"/>
  <c r="Q126" i="7"/>
  <c r="R126" i="7"/>
  <c r="S126" i="7"/>
  <c r="T126" i="7"/>
  <c r="U126" i="7"/>
  <c r="O127" i="7"/>
  <c r="P127" i="7"/>
  <c r="Q127" i="7"/>
  <c r="R127" i="7"/>
  <c r="S127" i="7"/>
  <c r="T127" i="7"/>
  <c r="U127" i="7"/>
  <c r="O128" i="7"/>
  <c r="P128" i="7"/>
  <c r="Q128" i="7"/>
  <c r="R128" i="7"/>
  <c r="S128" i="7"/>
  <c r="T128" i="7"/>
  <c r="U128" i="7"/>
  <c r="O129" i="7"/>
  <c r="P129" i="7"/>
  <c r="Q129" i="7"/>
  <c r="R129" i="7"/>
  <c r="S129" i="7"/>
  <c r="T129" i="7"/>
  <c r="U129" i="7"/>
  <c r="O130" i="7"/>
  <c r="P130" i="7"/>
  <c r="Q130" i="7"/>
  <c r="R130" i="7"/>
  <c r="S130" i="7"/>
  <c r="T130" i="7"/>
  <c r="U130" i="7"/>
  <c r="O131" i="7"/>
  <c r="P131" i="7"/>
  <c r="Q131" i="7"/>
  <c r="R131" i="7"/>
  <c r="S131" i="7"/>
  <c r="T131" i="7"/>
  <c r="U131" i="7"/>
  <c r="O132" i="7"/>
  <c r="P132" i="7"/>
  <c r="Q132" i="7"/>
  <c r="R132" i="7"/>
  <c r="S132" i="7"/>
  <c r="T132" i="7"/>
  <c r="U132" i="7"/>
  <c r="O133" i="7"/>
  <c r="P133" i="7"/>
  <c r="Q133" i="7"/>
  <c r="R133" i="7"/>
  <c r="S133" i="7"/>
  <c r="T133" i="7"/>
  <c r="U133" i="7"/>
  <c r="O134" i="7"/>
  <c r="P134" i="7"/>
  <c r="Q134" i="7"/>
  <c r="R134" i="7"/>
  <c r="S134" i="7"/>
  <c r="T134" i="7"/>
  <c r="U134" i="7"/>
  <c r="O135" i="7"/>
  <c r="P135" i="7"/>
  <c r="Q135" i="7"/>
  <c r="R135" i="7"/>
  <c r="S135" i="7"/>
  <c r="T135" i="7"/>
  <c r="U135" i="7"/>
  <c r="O136" i="7"/>
  <c r="P136" i="7"/>
  <c r="Q136" i="7"/>
  <c r="R136" i="7"/>
  <c r="S136" i="7"/>
  <c r="T136" i="7"/>
  <c r="U136" i="7"/>
  <c r="O137" i="7"/>
  <c r="P137" i="7"/>
  <c r="Q137" i="7"/>
  <c r="R137" i="7"/>
  <c r="S137" i="7"/>
  <c r="T137" i="7"/>
  <c r="U137" i="7"/>
  <c r="O138" i="7"/>
  <c r="P138" i="7"/>
  <c r="Q138" i="7"/>
  <c r="R138" i="7"/>
  <c r="S138" i="7"/>
  <c r="T138" i="7"/>
  <c r="U138" i="7"/>
  <c r="O139" i="7"/>
  <c r="P139" i="7"/>
  <c r="Q139" i="7"/>
  <c r="R139" i="7"/>
  <c r="S139" i="7"/>
  <c r="T139" i="7"/>
  <c r="U139" i="7"/>
  <c r="O140" i="7"/>
  <c r="P140" i="7"/>
  <c r="Q140" i="7"/>
  <c r="R140" i="7"/>
  <c r="S140" i="7"/>
  <c r="T140" i="7"/>
  <c r="U140" i="7"/>
  <c r="O141" i="7"/>
  <c r="P141" i="7"/>
  <c r="Q141" i="7"/>
  <c r="R141" i="7"/>
  <c r="S141" i="7"/>
  <c r="T141" i="7"/>
  <c r="U141" i="7"/>
  <c r="O142" i="7"/>
  <c r="P142" i="7"/>
  <c r="Q142" i="7"/>
  <c r="R142" i="7"/>
  <c r="S142" i="7"/>
  <c r="T142" i="7"/>
  <c r="U142" i="7"/>
  <c r="O143" i="7"/>
  <c r="P143" i="7"/>
  <c r="Q143" i="7"/>
  <c r="R143" i="7"/>
  <c r="S143" i="7"/>
  <c r="T143" i="7"/>
  <c r="U143" i="7"/>
  <c r="O144" i="7"/>
  <c r="P144" i="7"/>
  <c r="Q144" i="7"/>
  <c r="R144" i="7"/>
  <c r="S144" i="7"/>
  <c r="T144" i="7"/>
  <c r="U144" i="7"/>
  <c r="O145" i="7"/>
  <c r="P145" i="7"/>
  <c r="Q145" i="7"/>
  <c r="R145" i="7"/>
  <c r="S145" i="7"/>
  <c r="T145" i="7"/>
  <c r="U145" i="7"/>
  <c r="O146" i="7"/>
  <c r="P146" i="7"/>
  <c r="Q146" i="7"/>
  <c r="R146" i="7"/>
  <c r="S146" i="7"/>
  <c r="T146" i="7"/>
  <c r="U146" i="7"/>
  <c r="O147" i="7"/>
  <c r="P147" i="7"/>
  <c r="Q147" i="7"/>
  <c r="R147" i="7"/>
  <c r="S147" i="7"/>
  <c r="T147" i="7"/>
  <c r="U147" i="7"/>
  <c r="O148" i="7"/>
  <c r="P148" i="7"/>
  <c r="Q148" i="7"/>
  <c r="R148" i="7"/>
  <c r="S148" i="7"/>
  <c r="T148" i="7"/>
  <c r="U148" i="7"/>
  <c r="O149" i="7"/>
  <c r="P149" i="7"/>
  <c r="Q149" i="7"/>
  <c r="R149" i="7"/>
  <c r="S149" i="7"/>
  <c r="T149" i="7"/>
  <c r="U149" i="7"/>
  <c r="O150" i="7"/>
  <c r="P150" i="7"/>
  <c r="Q150" i="7"/>
  <c r="R150" i="7"/>
  <c r="S150" i="7"/>
  <c r="T150" i="7"/>
  <c r="U150" i="7"/>
  <c r="O151" i="7"/>
  <c r="P151" i="7"/>
  <c r="Q151" i="7"/>
  <c r="R151" i="7"/>
  <c r="S151" i="7"/>
  <c r="T151" i="7"/>
  <c r="U151" i="7"/>
  <c r="O152" i="7"/>
  <c r="P152" i="7"/>
  <c r="Q152" i="7"/>
  <c r="R152" i="7"/>
  <c r="S152" i="7"/>
  <c r="T152" i="7"/>
  <c r="U152" i="7"/>
  <c r="O153" i="7"/>
  <c r="P153" i="7"/>
  <c r="Q153" i="7"/>
  <c r="R153" i="7"/>
  <c r="S153" i="7"/>
  <c r="T153" i="7"/>
  <c r="U153" i="7"/>
  <c r="O154" i="7"/>
  <c r="P154" i="7"/>
  <c r="Q154" i="7"/>
  <c r="R154" i="7"/>
  <c r="S154" i="7"/>
  <c r="T154" i="7"/>
  <c r="U154" i="7"/>
  <c r="O155" i="7"/>
  <c r="P155" i="7"/>
  <c r="Q155" i="7"/>
  <c r="R155" i="7"/>
  <c r="S155" i="7"/>
  <c r="T155" i="7"/>
  <c r="U155" i="7"/>
  <c r="O156" i="7"/>
  <c r="P156" i="7"/>
  <c r="Q156" i="7"/>
  <c r="R156" i="7"/>
  <c r="S156" i="7"/>
  <c r="T156" i="7"/>
  <c r="U156" i="7"/>
  <c r="O157" i="7"/>
  <c r="P157" i="7"/>
  <c r="Q157" i="7"/>
  <c r="R157" i="7"/>
  <c r="S157" i="7"/>
  <c r="T157" i="7"/>
  <c r="U157" i="7"/>
  <c r="O158" i="7"/>
  <c r="P158" i="7"/>
  <c r="Q158" i="7"/>
  <c r="R158" i="7"/>
  <c r="S158" i="7"/>
  <c r="T158" i="7"/>
  <c r="U158" i="7"/>
  <c r="O159" i="7"/>
  <c r="P159" i="7"/>
  <c r="Q159" i="7"/>
  <c r="R159" i="7"/>
  <c r="S159" i="7"/>
  <c r="T159" i="7"/>
  <c r="U159" i="7"/>
  <c r="O160" i="7"/>
  <c r="P160" i="7"/>
  <c r="Q160" i="7"/>
  <c r="R160" i="7"/>
  <c r="S160" i="7"/>
  <c r="T160" i="7"/>
  <c r="U160" i="7"/>
  <c r="O161" i="7"/>
  <c r="P161" i="7"/>
  <c r="Q161" i="7"/>
  <c r="R161" i="7"/>
  <c r="S161" i="7"/>
  <c r="T161" i="7"/>
  <c r="U161" i="7"/>
  <c r="I39" i="6"/>
  <c r="E39" i="6"/>
  <c r="F39" i="6" s="1"/>
  <c r="I96" i="6"/>
  <c r="E96" i="6"/>
  <c r="F96" i="6" s="1"/>
  <c r="I12" i="6"/>
  <c r="E12" i="6"/>
  <c r="I11" i="6"/>
  <c r="E11" i="6"/>
  <c r="I69" i="6"/>
  <c r="E69" i="6"/>
  <c r="F69" i="6" s="1"/>
  <c r="I94" i="6"/>
  <c r="E94" i="6"/>
  <c r="F94" i="6" s="1"/>
  <c r="I10" i="6"/>
  <c r="E10" i="6"/>
  <c r="N585" i="1"/>
  <c r="I13" i="6"/>
  <c r="E13" i="6"/>
  <c r="I77" i="6"/>
  <c r="E77" i="6"/>
  <c r="I101" i="6"/>
  <c r="E101" i="6"/>
  <c r="I74" i="6"/>
  <c r="E74" i="6"/>
  <c r="I18" i="6"/>
  <c r="E18" i="6"/>
  <c r="I33" i="6"/>
  <c r="E33" i="6"/>
  <c r="I31" i="6"/>
  <c r="E31" i="6"/>
  <c r="F31" i="6" s="1"/>
  <c r="I114" i="6"/>
  <c r="E114" i="6"/>
  <c r="F114" i="6" s="1"/>
  <c r="I57" i="6"/>
  <c r="E57" i="6"/>
  <c r="F57" i="6" s="1"/>
  <c r="I32" i="6"/>
  <c r="E32" i="6"/>
  <c r="I24" i="6"/>
  <c r="E24" i="6"/>
  <c r="F24" i="6" s="1"/>
  <c r="I86" i="6"/>
  <c r="E86" i="6"/>
  <c r="I111" i="6"/>
  <c r="E111" i="6"/>
  <c r="F111" i="6" s="1"/>
  <c r="I70" i="6"/>
  <c r="E70" i="6"/>
  <c r="F70" i="6" s="1"/>
  <c r="I42" i="6"/>
  <c r="E42" i="6"/>
  <c r="I40" i="6"/>
  <c r="E40" i="6"/>
  <c r="I71" i="6"/>
  <c r="E71" i="6"/>
  <c r="I107" i="6"/>
  <c r="E107" i="6"/>
  <c r="I108" i="6"/>
  <c r="E108" i="6"/>
  <c r="F108" i="6" s="1"/>
  <c r="I109" i="6"/>
  <c r="E109" i="6"/>
  <c r="I104" i="6"/>
  <c r="E104" i="6"/>
  <c r="M108" i="7"/>
  <c r="M109" i="7"/>
  <c r="M110" i="7"/>
  <c r="M111" i="7"/>
  <c r="M112" i="7"/>
  <c r="M113" i="7"/>
  <c r="C25" i="10"/>
  <c r="C30" i="10" s="1"/>
  <c r="C9" i="10"/>
  <c r="C7" i="10"/>
  <c r="C4" i="10"/>
  <c r="M65" i="7" l="1"/>
  <c r="T65" i="7" s="1"/>
  <c r="M29" i="7"/>
  <c r="T29" i="7" s="1"/>
  <c r="M25" i="7"/>
  <c r="T25" i="7" s="1"/>
  <c r="M6" i="7"/>
  <c r="T6" i="7" s="1"/>
  <c r="M7" i="7"/>
  <c r="T7" i="7" s="1"/>
  <c r="M21" i="7"/>
  <c r="T21" i="7" s="1"/>
  <c r="M16" i="7"/>
  <c r="T16" i="7" s="1"/>
  <c r="M15" i="7"/>
  <c r="T15" i="7" s="1"/>
  <c r="M4" i="7"/>
  <c r="T4" i="7" s="1"/>
  <c r="K35" i="6"/>
  <c r="M35" i="6" s="1"/>
  <c r="F59" i="6"/>
  <c r="K59" i="6" s="1"/>
  <c r="M59" i="6" s="1"/>
  <c r="M8" i="7"/>
  <c r="T8" i="7" s="1"/>
  <c r="M2" i="7"/>
  <c r="T2" i="7" s="1"/>
  <c r="M10" i="7"/>
  <c r="T10" i="7" s="1"/>
  <c r="M22" i="7"/>
  <c r="T22" i="7" s="1"/>
  <c r="M5" i="7"/>
  <c r="T5" i="7" s="1"/>
  <c r="M12" i="7"/>
  <c r="T12" i="7" s="1"/>
  <c r="M19" i="7"/>
  <c r="T19" i="7" s="1"/>
  <c r="M20" i="7"/>
  <c r="T20" i="7" s="1"/>
  <c r="M13" i="7"/>
  <c r="T13" i="7" s="1"/>
  <c r="M17" i="7"/>
  <c r="T17" i="7" s="1"/>
  <c r="M18" i="7"/>
  <c r="T18" i="7" s="1"/>
  <c r="M3" i="7"/>
  <c r="T3" i="7" s="1"/>
  <c r="M53" i="7"/>
  <c r="T53" i="7" s="1"/>
  <c r="M77" i="7"/>
  <c r="T77" i="7" s="1"/>
  <c r="M41" i="7"/>
  <c r="T41" i="7" s="1"/>
  <c r="M37" i="7"/>
  <c r="T37" i="7" s="1"/>
  <c r="M11" i="7"/>
  <c r="T11" i="7" s="1"/>
  <c r="M89" i="7"/>
  <c r="T89" i="7" s="1"/>
  <c r="M9" i="7"/>
  <c r="T9" i="7" s="1"/>
  <c r="K102" i="6"/>
  <c r="M102" i="6" s="1"/>
  <c r="K56" i="6"/>
  <c r="M56" i="6" s="1"/>
  <c r="F54" i="6"/>
  <c r="K54" i="6" s="1"/>
  <c r="M54" i="6" s="1"/>
  <c r="F47" i="6"/>
  <c r="K47" i="6" s="1"/>
  <c r="M47" i="6" s="1"/>
  <c r="F50" i="6"/>
  <c r="K50" i="6" s="1"/>
  <c r="M50" i="6" s="1"/>
  <c r="K48" i="6"/>
  <c r="M48" i="6" s="1"/>
  <c r="K49" i="6"/>
  <c r="M49" i="6" s="1"/>
  <c r="F68" i="6"/>
  <c r="K68" i="6" s="1"/>
  <c r="M68" i="6" s="1"/>
  <c r="K16" i="6"/>
  <c r="M16" i="6" s="1"/>
  <c r="F17" i="6"/>
  <c r="K17" i="6" s="1"/>
  <c r="M17" i="6" s="1"/>
  <c r="M26" i="7"/>
  <c r="T26" i="7" s="1"/>
  <c r="M14" i="7"/>
  <c r="T14" i="7" s="1"/>
  <c r="M96" i="7"/>
  <c r="T96" i="7" s="1"/>
  <c r="M49" i="7"/>
  <c r="T49" i="7" s="1"/>
  <c r="F115" i="6"/>
  <c r="K115" i="6" s="1"/>
  <c r="M115" i="6" s="1"/>
  <c r="F90" i="6"/>
  <c r="K90" i="6" s="1"/>
  <c r="M90" i="6" s="1"/>
  <c r="F88" i="6"/>
  <c r="K88" i="6" s="1"/>
  <c r="M88" i="6" s="1"/>
  <c r="F7" i="6"/>
  <c r="K7" i="6" s="1"/>
  <c r="M7" i="6" s="1"/>
  <c r="F61" i="6"/>
  <c r="K61" i="6" s="1"/>
  <c r="M61" i="6" s="1"/>
  <c r="K113" i="6"/>
  <c r="M113" i="6" s="1"/>
  <c r="F87" i="6"/>
  <c r="K87" i="6" s="1"/>
  <c r="M87" i="6" s="1"/>
  <c r="F62" i="6"/>
  <c r="K62" i="6" s="1"/>
  <c r="M62" i="6" s="1"/>
  <c r="K21" i="6"/>
  <c r="M21" i="6" s="1"/>
  <c r="K39" i="6"/>
  <c r="M39" i="6" s="1"/>
  <c r="F23" i="6"/>
  <c r="K23" i="6" s="1"/>
  <c r="M23" i="6" s="1"/>
  <c r="K22" i="6"/>
  <c r="M22" i="6" s="1"/>
  <c r="F27" i="6"/>
  <c r="K27" i="6" s="1"/>
  <c r="M27" i="6" s="1"/>
  <c r="K15" i="6"/>
  <c r="M15" i="6" s="1"/>
  <c r="F14" i="6"/>
  <c r="K14" i="6" s="1"/>
  <c r="M14" i="6" s="1"/>
  <c r="F92" i="6"/>
  <c r="K92" i="6" s="1"/>
  <c r="M92" i="6" s="1"/>
  <c r="F8" i="6"/>
  <c r="K8" i="6" s="1"/>
  <c r="M8" i="6" s="1"/>
  <c r="K63" i="6"/>
  <c r="M63" i="6" s="1"/>
  <c r="K96" i="6"/>
  <c r="M96" i="6" s="1"/>
  <c r="K69" i="6"/>
  <c r="M69" i="6" s="1"/>
  <c r="F11" i="6"/>
  <c r="K11" i="6" s="1"/>
  <c r="M11" i="6" s="1"/>
  <c r="F12" i="6"/>
  <c r="K12" i="6" s="1"/>
  <c r="M12" i="6" s="1"/>
  <c r="K94" i="6"/>
  <c r="M94" i="6" s="1"/>
  <c r="F10" i="6"/>
  <c r="K10" i="6" s="1"/>
  <c r="M10" i="6" s="1"/>
  <c r="F13" i="6"/>
  <c r="K13" i="6" s="1"/>
  <c r="M13" i="6" s="1"/>
  <c r="F77" i="6"/>
  <c r="K77" i="6" s="1"/>
  <c r="M77" i="6" s="1"/>
  <c r="F101" i="6"/>
  <c r="K101" i="6" s="1"/>
  <c r="M101" i="6" s="1"/>
  <c r="F74" i="6"/>
  <c r="K74" i="6" s="1"/>
  <c r="M74" i="6" s="1"/>
  <c r="F18" i="6"/>
  <c r="K18" i="6" s="1"/>
  <c r="M18" i="6" s="1"/>
  <c r="K31" i="6"/>
  <c r="M31" i="6" s="1"/>
  <c r="F33" i="6"/>
  <c r="K33" i="6" s="1"/>
  <c r="M33" i="6" s="1"/>
  <c r="K114" i="6"/>
  <c r="M114" i="6" s="1"/>
  <c r="K111" i="6"/>
  <c r="M111" i="6" s="1"/>
  <c r="K108" i="6"/>
  <c r="M108" i="6" s="1"/>
  <c r="K57" i="6"/>
  <c r="M57" i="6" s="1"/>
  <c r="K24" i="6"/>
  <c r="M24" i="6" s="1"/>
  <c r="F32" i="6"/>
  <c r="K32" i="6" s="1"/>
  <c r="M32" i="6" s="1"/>
  <c r="F86" i="6"/>
  <c r="K86" i="6" s="1"/>
  <c r="M86" i="6" s="1"/>
  <c r="K70" i="6"/>
  <c r="M70" i="6" s="1"/>
  <c r="F42" i="6"/>
  <c r="K42" i="6" s="1"/>
  <c r="M42" i="6" s="1"/>
  <c r="F40" i="6"/>
  <c r="K40" i="6" s="1"/>
  <c r="M40" i="6" s="1"/>
  <c r="F71" i="6"/>
  <c r="K71" i="6" s="1"/>
  <c r="M71" i="6" s="1"/>
  <c r="F107" i="6"/>
  <c r="K107" i="6" s="1"/>
  <c r="M107" i="6" s="1"/>
  <c r="F109" i="6"/>
  <c r="K109" i="6" s="1"/>
  <c r="M109" i="6" s="1"/>
  <c r="F104" i="6"/>
  <c r="K104" i="6" s="1"/>
  <c r="M104" i="6" s="1"/>
  <c r="C10" i="10"/>
  <c r="C13" i="10" s="1"/>
  <c r="C29" i="10" s="1"/>
  <c r="C31" i="10" s="1"/>
  <c r="C12" i="10" l="1"/>
  <c r="I82" i="6" l="1"/>
  <c r="E82" i="6"/>
  <c r="F82" i="6" s="1"/>
  <c r="I65" i="6"/>
  <c r="E65" i="6"/>
  <c r="F65" i="6" s="1"/>
  <c r="I93" i="6"/>
  <c r="E93" i="6"/>
  <c r="F93" i="6" s="1"/>
  <c r="E100" i="6"/>
  <c r="F100" i="6" s="1"/>
  <c r="I100" i="6"/>
  <c r="E5" i="6"/>
  <c r="F5" i="6" s="1"/>
  <c r="I5" i="6"/>
  <c r="E91" i="6"/>
  <c r="F91" i="6" s="1"/>
  <c r="I91" i="6"/>
  <c r="E44" i="6"/>
  <c r="F44" i="6" s="1"/>
  <c r="I44" i="6"/>
  <c r="E29" i="6"/>
  <c r="F29" i="6" s="1"/>
  <c r="I29" i="6"/>
  <c r="E28" i="6"/>
  <c r="F28" i="6" s="1"/>
  <c r="I28" i="6"/>
  <c r="E26" i="6"/>
  <c r="F26" i="6" s="1"/>
  <c r="I26" i="6"/>
  <c r="E80" i="6"/>
  <c r="F80" i="6" s="1"/>
  <c r="I80" i="6"/>
  <c r="E79" i="6"/>
  <c r="F79" i="6" s="1"/>
  <c r="I79" i="6"/>
  <c r="E112" i="6"/>
  <c r="F112" i="6" s="1"/>
  <c r="I112" i="6"/>
  <c r="E81" i="6"/>
  <c r="F81" i="6" s="1"/>
  <c r="I81" i="6"/>
  <c r="K44" i="6" l="1"/>
  <c r="M44" i="6" s="1"/>
  <c r="K112" i="6"/>
  <c r="M112" i="6" s="1"/>
  <c r="K29" i="6"/>
  <c r="M29" i="6" s="1"/>
  <c r="K81" i="6"/>
  <c r="M81" i="6" s="1"/>
  <c r="K100" i="6"/>
  <c r="M100" i="6" s="1"/>
  <c r="K82" i="6"/>
  <c r="M82" i="6" s="1"/>
  <c r="K91" i="6"/>
  <c r="M91" i="6" s="1"/>
  <c r="K80" i="6"/>
  <c r="M80" i="6" s="1"/>
  <c r="K26" i="6"/>
  <c r="M26" i="6" s="1"/>
  <c r="K5" i="6"/>
  <c r="M5" i="6" s="1"/>
  <c r="K28" i="6"/>
  <c r="M28" i="6" s="1"/>
  <c r="K79" i="6"/>
  <c r="M79" i="6" s="1"/>
  <c r="K93" i="6"/>
  <c r="M93" i="6" s="1"/>
  <c r="K65" i="6"/>
  <c r="M65" i="6" s="1"/>
  <c r="E85" i="6"/>
  <c r="F85" i="6" s="1"/>
  <c r="I85" i="6"/>
  <c r="E83" i="6"/>
  <c r="F83" i="6" s="1"/>
  <c r="I83" i="6"/>
  <c r="E84" i="6"/>
  <c r="F84" i="6" s="1"/>
  <c r="I84" i="6"/>
  <c r="E51" i="6"/>
  <c r="F51" i="6" s="1"/>
  <c r="I51" i="6"/>
  <c r="E98" i="6"/>
  <c r="I98" i="6"/>
  <c r="E99" i="6"/>
  <c r="I99" i="6"/>
  <c r="I116" i="6"/>
  <c r="I110" i="6"/>
  <c r="I106" i="6"/>
  <c r="I105" i="6"/>
  <c r="I103" i="6"/>
  <c r="I97" i="6"/>
  <c r="I95" i="6"/>
  <c r="I89" i="6"/>
  <c r="I78" i="6"/>
  <c r="I76" i="6"/>
  <c r="I75" i="6"/>
  <c r="I73" i="6"/>
  <c r="I72" i="6"/>
  <c r="I67" i="6"/>
  <c r="I66" i="6"/>
  <c r="I64" i="6"/>
  <c r="I60" i="6"/>
  <c r="I58" i="6"/>
  <c r="I55" i="6"/>
  <c r="I53" i="6"/>
  <c r="I52" i="6"/>
  <c r="I46" i="6"/>
  <c r="I45" i="6"/>
  <c r="I43" i="6"/>
  <c r="I41" i="6"/>
  <c r="I38" i="6"/>
  <c r="I37" i="6"/>
  <c r="I36" i="6"/>
  <c r="I34" i="6"/>
  <c r="I30" i="6"/>
  <c r="I25" i="6"/>
  <c r="I20" i="6"/>
  <c r="I19" i="6"/>
  <c r="I9" i="6"/>
  <c r="I6" i="6"/>
  <c r="I4" i="6"/>
  <c r="I3" i="6"/>
  <c r="I2" i="6"/>
  <c r="E116" i="6"/>
  <c r="F116" i="6" s="1"/>
  <c r="E110" i="6"/>
  <c r="E106" i="6"/>
  <c r="E105" i="6"/>
  <c r="E103" i="6"/>
  <c r="E97" i="6"/>
  <c r="E95" i="6"/>
  <c r="F95" i="6" s="1"/>
  <c r="E89" i="6"/>
  <c r="E78" i="6"/>
  <c r="F78" i="6" s="1"/>
  <c r="E76" i="6"/>
  <c r="E75" i="6"/>
  <c r="E73" i="6"/>
  <c r="E67" i="6"/>
  <c r="F67" i="6" s="1"/>
  <c r="E66" i="6"/>
  <c r="F66" i="6" s="1"/>
  <c r="E64" i="6"/>
  <c r="E60" i="6"/>
  <c r="F60" i="6" s="1"/>
  <c r="E58" i="6"/>
  <c r="F58" i="6" s="1"/>
  <c r="E55" i="6"/>
  <c r="E53" i="6"/>
  <c r="F53" i="6" s="1"/>
  <c r="E52" i="6"/>
  <c r="F52" i="6" s="1"/>
  <c r="E46" i="6"/>
  <c r="F46" i="6" s="1"/>
  <c r="E45" i="6"/>
  <c r="F45" i="6" s="1"/>
  <c r="E43" i="6"/>
  <c r="F43" i="6" s="1"/>
  <c r="E41" i="6"/>
  <c r="F41" i="6" s="1"/>
  <c r="E38" i="6"/>
  <c r="F38" i="6" s="1"/>
  <c r="E37" i="6"/>
  <c r="F37" i="6" s="1"/>
  <c r="E36" i="6"/>
  <c r="F36" i="6" s="1"/>
  <c r="E34" i="6"/>
  <c r="F34" i="6" s="1"/>
  <c r="E30" i="6"/>
  <c r="F30" i="6" s="1"/>
  <c r="E25" i="6"/>
  <c r="E20" i="6"/>
  <c r="F20" i="6" s="1"/>
  <c r="E19" i="6"/>
  <c r="F19" i="6" s="1"/>
  <c r="E9" i="6"/>
  <c r="E6" i="6"/>
  <c r="E4" i="6"/>
  <c r="F4" i="6" s="1"/>
  <c r="E3" i="6"/>
  <c r="F3" i="6" s="1"/>
  <c r="E2" i="6"/>
  <c r="F2" i="6" s="1"/>
  <c r="E72" i="6"/>
  <c r="F72" i="6" s="1"/>
  <c r="K85" i="6" l="1"/>
  <c r="M85" i="6" s="1"/>
  <c r="K83" i="6"/>
  <c r="M83" i="6" s="1"/>
  <c r="K2" i="6"/>
  <c r="M2" i="6" s="1"/>
  <c r="K46" i="6"/>
  <c r="M46" i="6" s="1"/>
  <c r="K67" i="6"/>
  <c r="M67" i="6" s="1"/>
  <c r="K30" i="6"/>
  <c r="M30" i="6" s="1"/>
  <c r="K3" i="6"/>
  <c r="M3" i="6" s="1"/>
  <c r="K34" i="6"/>
  <c r="M34" i="6" s="1"/>
  <c r="K52" i="6"/>
  <c r="M52" i="6" s="1"/>
  <c r="K72" i="6"/>
  <c r="M72" i="6" s="1"/>
  <c r="K84" i="6"/>
  <c r="M84" i="6" s="1"/>
  <c r="K41" i="6"/>
  <c r="M41" i="6" s="1"/>
  <c r="K60" i="6"/>
  <c r="M60" i="6" s="1"/>
  <c r="K19" i="6"/>
  <c r="M19" i="6" s="1"/>
  <c r="K45" i="6"/>
  <c r="M45" i="6" s="1"/>
  <c r="K66" i="6"/>
  <c r="M66" i="6" s="1"/>
  <c r="K95" i="6"/>
  <c r="M95" i="6" s="1"/>
  <c r="K78" i="6"/>
  <c r="M78" i="6" s="1"/>
  <c r="K116" i="6"/>
  <c r="M116" i="6" s="1"/>
  <c r="F6" i="6"/>
  <c r="K6" i="6" s="1"/>
  <c r="M6" i="6" s="1"/>
  <c r="F55" i="6"/>
  <c r="K55" i="6" s="1"/>
  <c r="M55" i="6" s="1"/>
  <c r="F76" i="6"/>
  <c r="K76" i="6" s="1"/>
  <c r="M76" i="6" s="1"/>
  <c r="F110" i="6"/>
  <c r="K110" i="6" s="1"/>
  <c r="M110" i="6" s="1"/>
  <c r="K20" i="6"/>
  <c r="M20" i="6" s="1"/>
  <c r="K43" i="6"/>
  <c r="M43" i="6" s="1"/>
  <c r="F99" i="6"/>
  <c r="K99" i="6" s="1"/>
  <c r="M99" i="6" s="1"/>
  <c r="F89" i="6"/>
  <c r="K89" i="6" s="1"/>
  <c r="M89" i="6" s="1"/>
  <c r="F98" i="6"/>
  <c r="K98" i="6" s="1"/>
  <c r="M98" i="6" s="1"/>
  <c r="F75" i="6"/>
  <c r="K75" i="6" s="1"/>
  <c r="M75" i="6" s="1"/>
  <c r="F64" i="6"/>
  <c r="K64" i="6" s="1"/>
  <c r="M64" i="6" s="1"/>
  <c r="F25" i="6"/>
  <c r="K25" i="6" s="1"/>
  <c r="M25" i="6" s="1"/>
  <c r="F97" i="6"/>
  <c r="K97" i="6" s="1"/>
  <c r="M97" i="6" s="1"/>
  <c r="K36" i="6"/>
  <c r="M36" i="6" s="1"/>
  <c r="K53" i="6"/>
  <c r="M53" i="6" s="1"/>
  <c r="F9" i="6"/>
  <c r="K9" i="6" s="1"/>
  <c r="M9" i="6" s="1"/>
  <c r="K4" i="6"/>
  <c r="M4" i="6" s="1"/>
  <c r="F103" i="6"/>
  <c r="K103" i="6" s="1"/>
  <c r="M103" i="6" s="1"/>
  <c r="K37" i="6"/>
  <c r="M37" i="6" s="1"/>
  <c r="F106" i="6"/>
  <c r="K106" i="6" s="1"/>
  <c r="M106" i="6" s="1"/>
  <c r="F73" i="6"/>
  <c r="K73" i="6" s="1"/>
  <c r="M73" i="6" s="1"/>
  <c r="F105" i="6"/>
  <c r="K105" i="6" s="1"/>
  <c r="M105" i="6" s="1"/>
  <c r="K38" i="6"/>
  <c r="M38" i="6" s="1"/>
  <c r="K58" i="6"/>
  <c r="M58" i="6" s="1"/>
  <c r="K51" i="6"/>
  <c r="M51" i="6" s="1"/>
  <c r="C11" i="4"/>
  <c r="C12" i="4" s="1"/>
  <c r="C10" i="4"/>
  <c r="C5" i="4"/>
  <c r="C4" i="4"/>
  <c r="C6" i="4" s="1"/>
  <c r="J29" i="3" l="1"/>
  <c r="J28" i="3"/>
  <c r="J27" i="3"/>
  <c r="K27" i="3" s="1"/>
  <c r="L27" i="3" s="1"/>
  <c r="J23" i="3"/>
  <c r="J22" i="3"/>
  <c r="J21" i="3"/>
  <c r="K21" i="3" s="1"/>
  <c r="L21" i="3" s="1"/>
  <c r="J17" i="3"/>
  <c r="J16" i="3"/>
  <c r="K16" i="3" s="1"/>
  <c r="L16" i="3" s="1"/>
  <c r="J15" i="3"/>
  <c r="J11" i="3"/>
  <c r="J10" i="3"/>
  <c r="J9" i="3"/>
  <c r="J4" i="3"/>
  <c r="J5" i="3"/>
  <c r="J3" i="3"/>
  <c r="K29" i="3"/>
  <c r="L29" i="3" s="1"/>
  <c r="P29" i="3"/>
  <c r="P28" i="3"/>
  <c r="P27" i="3"/>
  <c r="P23" i="3"/>
  <c r="P22" i="3"/>
  <c r="Q22" i="3" s="1"/>
  <c r="R22" i="3" s="1"/>
  <c r="P21" i="3"/>
  <c r="P17" i="3"/>
  <c r="P16" i="3"/>
  <c r="P15" i="3"/>
  <c r="P5" i="3"/>
  <c r="P4" i="3"/>
  <c r="P3" i="3"/>
  <c r="P10" i="3"/>
  <c r="P11" i="3"/>
  <c r="P9" i="3"/>
  <c r="Q9" i="3" s="1"/>
  <c r="R9" i="3" s="1"/>
  <c r="D9" i="3"/>
  <c r="D10" i="3"/>
  <c r="D11" i="3"/>
  <c r="E11" i="3" s="1"/>
  <c r="F11" i="3" s="1"/>
  <c r="D3" i="3"/>
  <c r="D4" i="3"/>
  <c r="D5" i="3"/>
  <c r="D15" i="3"/>
  <c r="D16" i="3"/>
  <c r="D17" i="3"/>
  <c r="D21" i="3"/>
  <c r="D22" i="3"/>
  <c r="D23" i="3"/>
  <c r="D27" i="3"/>
  <c r="D28" i="3"/>
  <c r="D29" i="3"/>
  <c r="K22" i="3" l="1"/>
  <c r="L22" i="3" s="1"/>
  <c r="K10" i="3"/>
  <c r="L10" i="3" s="1"/>
  <c r="Q27" i="3"/>
  <c r="R27" i="3" s="1"/>
  <c r="K11" i="3"/>
  <c r="L11" i="3" s="1"/>
  <c r="K28" i="3"/>
  <c r="L28" i="3" s="1"/>
  <c r="Q16" i="3"/>
  <c r="R16" i="3" s="1"/>
  <c r="K3" i="3"/>
  <c r="L3" i="3" s="1"/>
  <c r="K23" i="3"/>
  <c r="L23" i="3" s="1"/>
  <c r="L24" i="3" s="1"/>
  <c r="K17" i="3"/>
  <c r="L17" i="3" s="1"/>
  <c r="K5" i="3"/>
  <c r="L5" i="3" s="1"/>
  <c r="K4" i="3"/>
  <c r="L4" i="3" s="1"/>
  <c r="L30" i="3"/>
  <c r="K15" i="3"/>
  <c r="L15" i="3" s="1"/>
  <c r="K9" i="3"/>
  <c r="L9" i="3" s="1"/>
  <c r="L12" i="3" s="1"/>
  <c r="Q4" i="3"/>
  <c r="R4" i="3" s="1"/>
  <c r="E27" i="3"/>
  <c r="F27" i="3" s="1"/>
  <c r="F30" i="3" s="1"/>
  <c r="E29" i="3"/>
  <c r="F29" i="3" s="1"/>
  <c r="E17" i="3"/>
  <c r="F17" i="3" s="1"/>
  <c r="Q10" i="3"/>
  <c r="R10" i="3" s="1"/>
  <c r="Q21" i="3"/>
  <c r="R21" i="3" s="1"/>
  <c r="Q11" i="3"/>
  <c r="R11" i="3" s="1"/>
  <c r="R12" i="3" s="1"/>
  <c r="Q23" i="3"/>
  <c r="R23" i="3" s="1"/>
  <c r="Q5" i="3"/>
  <c r="R5" i="3" s="1"/>
  <c r="E21" i="3"/>
  <c r="F21" i="3" s="1"/>
  <c r="Q15" i="3"/>
  <c r="R15" i="3" s="1"/>
  <c r="Q28" i="3"/>
  <c r="R28" i="3" s="1"/>
  <c r="Q29" i="3"/>
  <c r="R29" i="3" s="1"/>
  <c r="Q3" i="3"/>
  <c r="R3" i="3" s="1"/>
  <c r="Q17" i="3"/>
  <c r="R17" i="3" s="1"/>
  <c r="E23" i="3"/>
  <c r="F23" i="3" s="1"/>
  <c r="E10" i="3"/>
  <c r="F10" i="3" s="1"/>
  <c r="E9" i="3"/>
  <c r="F9" i="3" s="1"/>
  <c r="E28" i="3"/>
  <c r="F28" i="3" s="1"/>
  <c r="E16" i="3"/>
  <c r="F16" i="3" s="1"/>
  <c r="E4" i="3"/>
  <c r="F4" i="3" s="1"/>
  <c r="E3" i="3"/>
  <c r="F3" i="3" s="1"/>
  <c r="E15" i="3"/>
  <c r="F15" i="3" s="1"/>
  <c r="E22" i="3"/>
  <c r="F22" i="3" s="1"/>
  <c r="E5" i="3"/>
  <c r="F5" i="3" s="1"/>
  <c r="F24" i="3" l="1"/>
  <c r="L18" i="3"/>
  <c r="L6" i="3"/>
  <c r="R30" i="3"/>
  <c r="R24" i="3"/>
  <c r="R18" i="3"/>
  <c r="R6" i="3"/>
  <c r="F12" i="3"/>
  <c r="F18" i="3"/>
  <c r="F6" i="3"/>
  <c r="L685" i="1" l="1"/>
  <c r="K685" i="1"/>
  <c r="J685" i="1"/>
  <c r="L684" i="1"/>
  <c r="K684" i="1"/>
  <c r="J684" i="1"/>
  <c r="M684" i="1" s="1"/>
  <c r="N684" i="1" s="1"/>
  <c r="L683" i="1"/>
  <c r="K683" i="1"/>
  <c r="J683" i="1"/>
  <c r="L682" i="1"/>
  <c r="K682" i="1"/>
  <c r="J682" i="1"/>
  <c r="L681" i="1"/>
  <c r="K681" i="1"/>
  <c r="J681" i="1"/>
  <c r="L680" i="1"/>
  <c r="K680" i="1"/>
  <c r="J680" i="1"/>
  <c r="L676" i="1"/>
  <c r="K676" i="1"/>
  <c r="J676" i="1"/>
  <c r="M676" i="1" s="1"/>
  <c r="L672" i="1"/>
  <c r="K672" i="1"/>
  <c r="J672" i="1"/>
  <c r="M672" i="1" s="1"/>
  <c r="L668" i="1"/>
  <c r="K668" i="1"/>
  <c r="J668" i="1"/>
  <c r="M668" i="1" s="1"/>
  <c r="L667" i="1"/>
  <c r="K667" i="1"/>
  <c r="J667" i="1"/>
  <c r="M667" i="1" s="1"/>
  <c r="N667" i="1" s="1"/>
  <c r="L666" i="1"/>
  <c r="K666" i="1"/>
  <c r="J666" i="1"/>
  <c r="M666" i="1" s="1"/>
  <c r="N666" i="1" s="1"/>
  <c r="L665" i="1"/>
  <c r="K665" i="1"/>
  <c r="J665" i="1"/>
  <c r="M665" i="1" s="1"/>
  <c r="N665" i="1" s="1"/>
  <c r="L661" i="1"/>
  <c r="K661" i="1"/>
  <c r="J661" i="1"/>
  <c r="M661" i="1" s="1"/>
  <c r="M660" i="1"/>
  <c r="N660" i="1" s="1"/>
  <c r="L660" i="1"/>
  <c r="K660" i="1"/>
  <c r="J660" i="1"/>
  <c r="L656" i="1"/>
  <c r="K656" i="1"/>
  <c r="J656" i="1"/>
  <c r="M656" i="1" s="1"/>
  <c r="L655" i="1"/>
  <c r="K655" i="1"/>
  <c r="J655" i="1"/>
  <c r="L651" i="1"/>
  <c r="K651" i="1"/>
  <c r="J651" i="1"/>
  <c r="M651" i="1" s="1"/>
  <c r="L647" i="1"/>
  <c r="K647" i="1"/>
  <c r="J647" i="1"/>
  <c r="M647" i="1" s="1"/>
  <c r="L643" i="1"/>
  <c r="K643" i="1"/>
  <c r="J643" i="1"/>
  <c r="M643" i="1" s="1"/>
  <c r="L642" i="1"/>
  <c r="K642" i="1"/>
  <c r="J642" i="1"/>
  <c r="M642" i="1" s="1"/>
  <c r="N642" i="1" s="1"/>
  <c r="L638" i="1"/>
  <c r="K638" i="1"/>
  <c r="J638" i="1"/>
  <c r="M638" i="1" s="1"/>
  <c r="L637" i="1"/>
  <c r="K637" i="1"/>
  <c r="J637" i="1"/>
  <c r="M637" i="1" s="1"/>
  <c r="N637" i="1" s="1"/>
  <c r="L636" i="1"/>
  <c r="K636" i="1"/>
  <c r="J636" i="1"/>
  <c r="M636" i="1" s="1"/>
  <c r="N636" i="1" s="1"/>
  <c r="L635" i="1"/>
  <c r="K635" i="1"/>
  <c r="J635" i="1"/>
  <c r="M635" i="1" s="1"/>
  <c r="N635" i="1" s="1"/>
  <c r="L634" i="1"/>
  <c r="K634" i="1"/>
  <c r="J634" i="1"/>
  <c r="M634" i="1" s="1"/>
  <c r="N634" i="1" s="1"/>
  <c r="L630" i="1"/>
  <c r="K630" i="1"/>
  <c r="J630" i="1"/>
  <c r="M630" i="1" s="1"/>
  <c r="L629" i="1"/>
  <c r="K629" i="1"/>
  <c r="J629" i="1"/>
  <c r="M629" i="1" s="1"/>
  <c r="N629" i="1" s="1"/>
  <c r="L628" i="1"/>
  <c r="K628" i="1"/>
  <c r="J628" i="1"/>
  <c r="M628" i="1" s="1"/>
  <c r="N628" i="1" s="1"/>
  <c r="L624" i="1"/>
  <c r="K624" i="1"/>
  <c r="J624" i="1"/>
  <c r="M624" i="1" s="1"/>
  <c r="L620" i="1"/>
  <c r="K620" i="1"/>
  <c r="J620" i="1"/>
  <c r="M620" i="1" s="1"/>
  <c r="L619" i="1"/>
  <c r="K619" i="1"/>
  <c r="J619" i="1"/>
  <c r="M619" i="1" s="1"/>
  <c r="N619" i="1" s="1"/>
  <c r="L618" i="1"/>
  <c r="K618" i="1"/>
  <c r="J618" i="1"/>
  <c r="M618" i="1" s="1"/>
  <c r="N618" i="1" s="1"/>
  <c r="L617" i="1"/>
  <c r="K617" i="1"/>
  <c r="J617" i="1"/>
  <c r="M617" i="1" s="1"/>
  <c r="N617" i="1" s="1"/>
  <c r="L613" i="1"/>
  <c r="K613" i="1"/>
  <c r="J613" i="1"/>
  <c r="M613" i="1" s="1"/>
  <c r="L609" i="1"/>
  <c r="K609" i="1"/>
  <c r="J609" i="1"/>
  <c r="M609" i="1" s="1"/>
  <c r="L605" i="1"/>
  <c r="K605" i="1"/>
  <c r="J605" i="1"/>
  <c r="M605" i="1" s="1"/>
  <c r="L604" i="1"/>
  <c r="K604" i="1"/>
  <c r="J604" i="1"/>
  <c r="M604" i="1" s="1"/>
  <c r="N604" i="1" s="1"/>
  <c r="L600" i="1"/>
  <c r="K600" i="1"/>
  <c r="J600" i="1"/>
  <c r="M600" i="1" s="1"/>
  <c r="L599" i="1"/>
  <c r="K599" i="1"/>
  <c r="J599" i="1"/>
  <c r="L598" i="1"/>
  <c r="K598" i="1"/>
  <c r="J598" i="1"/>
  <c r="L597" i="1"/>
  <c r="K597" i="1"/>
  <c r="J597" i="1"/>
  <c r="L596" i="1"/>
  <c r="K596" i="1"/>
  <c r="J596" i="1"/>
  <c r="L592" i="1"/>
  <c r="K592" i="1"/>
  <c r="J592" i="1"/>
  <c r="M592" i="1" s="1"/>
  <c r="L591" i="1"/>
  <c r="K591" i="1"/>
  <c r="J591" i="1"/>
  <c r="M591" i="1" s="1"/>
  <c r="N591" i="1" s="1"/>
  <c r="L590" i="1"/>
  <c r="K590" i="1"/>
  <c r="J590" i="1"/>
  <c r="M590" i="1" s="1"/>
  <c r="N590" i="1" s="1"/>
  <c r="L589" i="1"/>
  <c r="K589" i="1"/>
  <c r="J589" i="1"/>
  <c r="M589" i="1" s="1"/>
  <c r="N589" i="1" s="1"/>
  <c r="L588" i="1"/>
  <c r="K588" i="1"/>
  <c r="J588" i="1"/>
  <c r="M588" i="1" s="1"/>
  <c r="N588" i="1" s="1"/>
  <c r="L584" i="1"/>
  <c r="K584" i="1"/>
  <c r="J584" i="1"/>
  <c r="L583" i="1"/>
  <c r="K583" i="1"/>
  <c r="J583" i="1"/>
  <c r="L582" i="1"/>
  <c r="K582" i="1"/>
  <c r="J582" i="1"/>
  <c r="M582" i="1" s="1"/>
  <c r="N582" i="1" s="1"/>
  <c r="L581" i="1"/>
  <c r="K581" i="1"/>
  <c r="J581" i="1"/>
  <c r="L580" i="1"/>
  <c r="K580" i="1"/>
  <c r="J580" i="1"/>
  <c r="L576" i="1"/>
  <c r="K576" i="1"/>
  <c r="J576" i="1"/>
  <c r="L572" i="1"/>
  <c r="K572" i="1"/>
  <c r="J572" i="1"/>
  <c r="M572" i="1" s="1"/>
  <c r="L571" i="1"/>
  <c r="K571" i="1"/>
  <c r="J571" i="1"/>
  <c r="M571" i="1" s="1"/>
  <c r="N571" i="1" s="1"/>
  <c r="L570" i="1"/>
  <c r="K570" i="1"/>
  <c r="J570" i="1"/>
  <c r="M570" i="1" s="1"/>
  <c r="N570" i="1" s="1"/>
  <c r="L569" i="1"/>
  <c r="K569" i="1"/>
  <c r="J569" i="1"/>
  <c r="M569" i="1" s="1"/>
  <c r="N569" i="1" s="1"/>
  <c r="L565" i="1"/>
  <c r="K565" i="1"/>
  <c r="J565" i="1"/>
  <c r="M565" i="1" s="1"/>
  <c r="L564" i="1"/>
  <c r="K564" i="1"/>
  <c r="J564" i="1"/>
  <c r="M564" i="1" s="1"/>
  <c r="N564" i="1" s="1"/>
  <c r="L563" i="1"/>
  <c r="K563" i="1"/>
  <c r="J563" i="1"/>
  <c r="M563" i="1" s="1"/>
  <c r="N563" i="1" s="1"/>
  <c r="L559" i="1"/>
  <c r="K559" i="1"/>
  <c r="J559" i="1"/>
  <c r="M559" i="1" s="1"/>
  <c r="L558" i="1"/>
  <c r="K558" i="1"/>
  <c r="J558" i="1"/>
  <c r="M558" i="1" s="1"/>
  <c r="N558" i="1" s="1"/>
  <c r="L557" i="1"/>
  <c r="K557" i="1"/>
  <c r="J557" i="1"/>
  <c r="M557" i="1" s="1"/>
  <c r="N557" i="1" s="1"/>
  <c r="L556" i="1"/>
  <c r="K556" i="1"/>
  <c r="J556" i="1"/>
  <c r="M556" i="1" s="1"/>
  <c r="N556" i="1" s="1"/>
  <c r="L555" i="1"/>
  <c r="K555" i="1"/>
  <c r="J555" i="1"/>
  <c r="M555" i="1" s="1"/>
  <c r="N555" i="1" s="1"/>
  <c r="L551" i="1"/>
  <c r="K551" i="1"/>
  <c r="J551" i="1"/>
  <c r="M551" i="1" s="1"/>
  <c r="L550" i="1"/>
  <c r="K550" i="1"/>
  <c r="J550" i="1"/>
  <c r="M550" i="1" s="1"/>
  <c r="N550" i="1" s="1"/>
  <c r="L549" i="1"/>
  <c r="K549" i="1"/>
  <c r="J549" i="1"/>
  <c r="M549" i="1" s="1"/>
  <c r="N549" i="1" s="1"/>
  <c r="L548" i="1"/>
  <c r="K548" i="1"/>
  <c r="J548" i="1"/>
  <c r="M548" i="1" s="1"/>
  <c r="N548" i="1" s="1"/>
  <c r="L547" i="1"/>
  <c r="K547" i="1"/>
  <c r="J547" i="1"/>
  <c r="M547" i="1" s="1"/>
  <c r="N547" i="1" s="1"/>
  <c r="L543" i="1"/>
  <c r="K543" i="1"/>
  <c r="J543" i="1"/>
  <c r="M543" i="1" s="1"/>
  <c r="L542" i="1"/>
  <c r="K542" i="1"/>
  <c r="J542" i="1"/>
  <c r="M542" i="1" s="1"/>
  <c r="N542" i="1" s="1"/>
  <c r="L538" i="1"/>
  <c r="K538" i="1"/>
  <c r="J538" i="1"/>
  <c r="L534" i="1"/>
  <c r="K534" i="1"/>
  <c r="J534" i="1"/>
  <c r="L533" i="1"/>
  <c r="K533" i="1"/>
  <c r="J533" i="1"/>
  <c r="L532" i="1"/>
  <c r="K532" i="1"/>
  <c r="J532" i="1"/>
  <c r="L531" i="1"/>
  <c r="K531" i="1"/>
  <c r="J531" i="1"/>
  <c r="L530" i="1"/>
  <c r="K530" i="1"/>
  <c r="J530" i="1"/>
  <c r="L529" i="1"/>
  <c r="K529" i="1"/>
  <c r="J529" i="1"/>
  <c r="L525" i="1"/>
  <c r="K525" i="1"/>
  <c r="J525" i="1"/>
  <c r="M525" i="1" s="1"/>
  <c r="L524" i="1"/>
  <c r="K524" i="1"/>
  <c r="J524" i="1"/>
  <c r="M524" i="1" s="1"/>
  <c r="N524" i="1" s="1"/>
  <c r="L520" i="1"/>
  <c r="K520" i="1"/>
  <c r="J520" i="1"/>
  <c r="M520" i="1" s="1"/>
  <c r="L519" i="1"/>
  <c r="K519" i="1"/>
  <c r="J519" i="1"/>
  <c r="M519" i="1" s="1"/>
  <c r="N519" i="1" s="1"/>
  <c r="L515" i="1"/>
  <c r="K515" i="1"/>
  <c r="J515" i="1"/>
  <c r="M515" i="1" s="1"/>
  <c r="L514" i="1"/>
  <c r="K514" i="1"/>
  <c r="J514" i="1"/>
  <c r="M514" i="1" s="1"/>
  <c r="N514" i="1" s="1"/>
  <c r="L510" i="1"/>
  <c r="K510" i="1"/>
  <c r="J510" i="1"/>
  <c r="M510" i="1" s="1"/>
  <c r="L509" i="1"/>
  <c r="K509" i="1"/>
  <c r="J509" i="1"/>
  <c r="M509" i="1" s="1"/>
  <c r="N509" i="1" s="1"/>
  <c r="L505" i="1"/>
  <c r="K505" i="1"/>
  <c r="J505" i="1"/>
  <c r="M505" i="1" s="1"/>
  <c r="L501" i="1"/>
  <c r="K501" i="1"/>
  <c r="J501" i="1"/>
  <c r="M501" i="1" s="1"/>
  <c r="L500" i="1"/>
  <c r="K500" i="1"/>
  <c r="J500" i="1"/>
  <c r="M500" i="1" s="1"/>
  <c r="N500" i="1" s="1"/>
  <c r="L499" i="1"/>
  <c r="K499" i="1"/>
  <c r="J499" i="1"/>
  <c r="M499" i="1" s="1"/>
  <c r="N499" i="1" s="1"/>
  <c r="L498" i="1"/>
  <c r="K498" i="1"/>
  <c r="J498" i="1"/>
  <c r="M498" i="1" s="1"/>
  <c r="N498" i="1" s="1"/>
  <c r="L497" i="1"/>
  <c r="K497" i="1"/>
  <c r="J497" i="1"/>
  <c r="M497" i="1" s="1"/>
  <c r="N497" i="1" s="1"/>
  <c r="L496" i="1"/>
  <c r="K496" i="1"/>
  <c r="J496" i="1"/>
  <c r="M496" i="1" s="1"/>
  <c r="N496" i="1" s="1"/>
  <c r="L492" i="1"/>
  <c r="K492" i="1"/>
  <c r="J492" i="1"/>
  <c r="M492" i="1" s="1"/>
  <c r="L488" i="1"/>
  <c r="K488" i="1"/>
  <c r="J488" i="1"/>
  <c r="L484" i="1"/>
  <c r="K484" i="1"/>
  <c r="J484" i="1"/>
  <c r="L480" i="1"/>
  <c r="K480" i="1"/>
  <c r="J480" i="1"/>
  <c r="L479" i="1"/>
  <c r="K479" i="1"/>
  <c r="J479" i="1"/>
  <c r="M479" i="1" s="1"/>
  <c r="N479" i="1" s="1"/>
  <c r="L475" i="1"/>
  <c r="K475" i="1"/>
  <c r="J475" i="1"/>
  <c r="L474" i="1"/>
  <c r="K474" i="1"/>
  <c r="J474" i="1"/>
  <c r="L470" i="1"/>
  <c r="K470" i="1"/>
  <c r="J470" i="1"/>
  <c r="L469" i="1"/>
  <c r="K469" i="1"/>
  <c r="J469" i="1"/>
  <c r="L468" i="1"/>
  <c r="K468" i="1"/>
  <c r="J468" i="1"/>
  <c r="L464" i="1"/>
  <c r="K464" i="1"/>
  <c r="J464" i="1"/>
  <c r="L463" i="1"/>
  <c r="K463" i="1"/>
  <c r="J463" i="1"/>
  <c r="L462" i="1"/>
  <c r="K462" i="1"/>
  <c r="J462" i="1"/>
  <c r="L458" i="1"/>
  <c r="K458" i="1"/>
  <c r="J458" i="1"/>
  <c r="L457" i="1"/>
  <c r="K457" i="1"/>
  <c r="J457" i="1"/>
  <c r="L456" i="1"/>
  <c r="K456" i="1"/>
  <c r="J456" i="1"/>
  <c r="L455" i="1"/>
  <c r="K455" i="1"/>
  <c r="J455" i="1"/>
  <c r="L454" i="1"/>
  <c r="K454" i="1"/>
  <c r="J454" i="1"/>
  <c r="L453" i="1"/>
  <c r="K453" i="1"/>
  <c r="J453" i="1"/>
  <c r="L449" i="1"/>
  <c r="K449" i="1"/>
  <c r="J449" i="1"/>
  <c r="L448" i="1"/>
  <c r="K448" i="1"/>
  <c r="J448" i="1"/>
  <c r="L447" i="1"/>
  <c r="K447" i="1"/>
  <c r="J447" i="1"/>
  <c r="M447" i="1" s="1"/>
  <c r="N447" i="1" s="1"/>
  <c r="L446" i="1"/>
  <c r="K446" i="1"/>
  <c r="J446" i="1"/>
  <c r="L445" i="1"/>
  <c r="K445" i="1"/>
  <c r="J445" i="1"/>
  <c r="L444" i="1"/>
  <c r="K444" i="1"/>
  <c r="J444" i="1"/>
  <c r="L440" i="1"/>
  <c r="K440" i="1"/>
  <c r="J440" i="1"/>
  <c r="M440" i="1" s="1"/>
  <c r="L436" i="1"/>
  <c r="K436" i="1"/>
  <c r="J436" i="1"/>
  <c r="L432" i="1"/>
  <c r="K432" i="1"/>
  <c r="J432" i="1"/>
  <c r="M432" i="1" s="1"/>
  <c r="L431" i="1"/>
  <c r="K431" i="1"/>
  <c r="J431" i="1"/>
  <c r="M431" i="1" s="1"/>
  <c r="N431" i="1" s="1"/>
  <c r="L430" i="1"/>
  <c r="K430" i="1"/>
  <c r="J430" i="1"/>
  <c r="M430" i="1" s="1"/>
  <c r="N430" i="1" s="1"/>
  <c r="L429" i="1"/>
  <c r="K429" i="1"/>
  <c r="J429" i="1"/>
  <c r="M429" i="1" s="1"/>
  <c r="N429" i="1" s="1"/>
  <c r="L425" i="1"/>
  <c r="K425" i="1"/>
  <c r="J425" i="1"/>
  <c r="M425" i="1" s="1"/>
  <c r="L424" i="1"/>
  <c r="K424" i="1"/>
  <c r="J424" i="1"/>
  <c r="M424" i="1" s="1"/>
  <c r="N424" i="1" s="1"/>
  <c r="L423" i="1"/>
  <c r="K423" i="1"/>
  <c r="J423" i="1"/>
  <c r="M423" i="1" s="1"/>
  <c r="N423" i="1" s="1"/>
  <c r="L419" i="1"/>
  <c r="K419" i="1"/>
  <c r="J419" i="1"/>
  <c r="M419" i="1" s="1"/>
  <c r="L418" i="1"/>
  <c r="K418" i="1"/>
  <c r="J418" i="1"/>
  <c r="M418" i="1" s="1"/>
  <c r="N418" i="1" s="1"/>
  <c r="L417" i="1"/>
  <c r="K417" i="1"/>
  <c r="J417" i="1"/>
  <c r="M417" i="1" s="1"/>
  <c r="N417" i="1" s="1"/>
  <c r="L416" i="1"/>
  <c r="K416" i="1"/>
  <c r="J416" i="1"/>
  <c r="M416" i="1" s="1"/>
  <c r="N416" i="1" s="1"/>
  <c r="L412" i="1"/>
  <c r="K412" i="1"/>
  <c r="J412" i="1"/>
  <c r="M412" i="1" s="1"/>
  <c r="L411" i="1"/>
  <c r="K411" i="1"/>
  <c r="J411" i="1"/>
  <c r="M411" i="1" s="1"/>
  <c r="N411" i="1" s="1"/>
  <c r="L410" i="1"/>
  <c r="K410" i="1"/>
  <c r="J410" i="1"/>
  <c r="M410" i="1" s="1"/>
  <c r="N410" i="1" s="1"/>
  <c r="L406" i="1"/>
  <c r="K406" i="1"/>
  <c r="J406" i="1"/>
  <c r="L402" i="1"/>
  <c r="K402" i="1"/>
  <c r="J402" i="1"/>
  <c r="M402" i="1" s="1"/>
  <c r="L398" i="1"/>
  <c r="K398" i="1"/>
  <c r="J398" i="1"/>
  <c r="M398" i="1" s="1"/>
  <c r="L394" i="1"/>
  <c r="K394" i="1"/>
  <c r="J394" i="1"/>
  <c r="M394" i="1" s="1"/>
  <c r="L390" i="1"/>
  <c r="K390" i="1"/>
  <c r="J390" i="1"/>
  <c r="L389" i="1"/>
  <c r="K389" i="1"/>
  <c r="J389" i="1"/>
  <c r="L388" i="1"/>
  <c r="K388" i="1"/>
  <c r="J388" i="1"/>
  <c r="L387" i="1"/>
  <c r="K387" i="1"/>
  <c r="J387" i="1"/>
  <c r="L386" i="1"/>
  <c r="K386" i="1"/>
  <c r="J386" i="1"/>
  <c r="L385" i="1"/>
  <c r="K385" i="1"/>
  <c r="J385" i="1"/>
  <c r="L384" i="1"/>
  <c r="K384" i="1"/>
  <c r="J384" i="1"/>
  <c r="M384" i="1" s="1"/>
  <c r="N384" i="1" s="1"/>
  <c r="L380" i="1"/>
  <c r="K380" i="1"/>
  <c r="J380" i="1"/>
  <c r="L379" i="1"/>
  <c r="K379" i="1"/>
  <c r="J379" i="1"/>
  <c r="L378" i="1"/>
  <c r="K378" i="1"/>
  <c r="J378" i="1"/>
  <c r="L377" i="1"/>
  <c r="K377" i="1"/>
  <c r="J377" i="1"/>
  <c r="L376" i="1"/>
  <c r="K376" i="1"/>
  <c r="J376" i="1"/>
  <c r="L372" i="1"/>
  <c r="K372" i="1"/>
  <c r="J372" i="1"/>
  <c r="M372" i="1" s="1"/>
  <c r="L371" i="1"/>
  <c r="K371" i="1"/>
  <c r="J371" i="1"/>
  <c r="M371" i="1" s="1"/>
  <c r="N371" i="1" s="1"/>
  <c r="L367" i="1"/>
  <c r="K367" i="1"/>
  <c r="J367" i="1"/>
  <c r="M367" i="1" s="1"/>
  <c r="L366" i="1"/>
  <c r="K366" i="1"/>
  <c r="J366" i="1"/>
  <c r="M366" i="1" s="1"/>
  <c r="N366" i="1" s="1"/>
  <c r="L362" i="1"/>
  <c r="K362" i="1"/>
  <c r="J362" i="1"/>
  <c r="M362" i="1" s="1"/>
  <c r="L358" i="1"/>
  <c r="K358" i="1"/>
  <c r="J358" i="1"/>
  <c r="M358" i="1" s="1"/>
  <c r="L354" i="1"/>
  <c r="K354" i="1"/>
  <c r="J354" i="1"/>
  <c r="L353" i="1"/>
  <c r="K353" i="1"/>
  <c r="J353" i="1"/>
  <c r="L352" i="1"/>
  <c r="K352" i="1"/>
  <c r="J352" i="1"/>
  <c r="L351" i="1"/>
  <c r="K351" i="1"/>
  <c r="J351" i="1"/>
  <c r="L350" i="1"/>
  <c r="K350" i="1"/>
  <c r="J350" i="1"/>
  <c r="L346" i="1"/>
  <c r="K346" i="1"/>
  <c r="J346" i="1"/>
  <c r="M346" i="1" s="1"/>
  <c r="L342" i="1"/>
  <c r="K342" i="1"/>
  <c r="J342" i="1"/>
  <c r="L341" i="1"/>
  <c r="K341" i="1"/>
  <c r="J341" i="1"/>
  <c r="L340" i="1"/>
  <c r="K340" i="1"/>
  <c r="J340" i="1"/>
  <c r="L339" i="1"/>
  <c r="K339" i="1"/>
  <c r="J339" i="1"/>
  <c r="L338" i="1"/>
  <c r="K338" i="1"/>
  <c r="J338" i="1"/>
  <c r="L337" i="1"/>
  <c r="K337" i="1"/>
  <c r="J337" i="1"/>
  <c r="L336" i="1"/>
  <c r="K336" i="1"/>
  <c r="J336" i="1"/>
  <c r="L332" i="1"/>
  <c r="K332" i="1"/>
  <c r="J332" i="1"/>
  <c r="L328" i="1"/>
  <c r="K328" i="1"/>
  <c r="J328" i="1"/>
  <c r="L327" i="1"/>
  <c r="K327" i="1"/>
  <c r="J327" i="1"/>
  <c r="L326" i="1"/>
  <c r="K326" i="1"/>
  <c r="J326" i="1"/>
  <c r="L325" i="1"/>
  <c r="K325" i="1"/>
  <c r="J325" i="1"/>
  <c r="L324" i="1"/>
  <c r="K324" i="1"/>
  <c r="J324" i="1"/>
  <c r="L323" i="1"/>
  <c r="K323" i="1"/>
  <c r="J323" i="1"/>
  <c r="L319" i="1"/>
  <c r="K319" i="1"/>
  <c r="J319" i="1"/>
  <c r="M319" i="1" s="1"/>
  <c r="L315" i="1"/>
  <c r="K315" i="1"/>
  <c r="J315" i="1"/>
  <c r="M315" i="1" s="1"/>
  <c r="L314" i="1"/>
  <c r="K314" i="1"/>
  <c r="J314" i="1"/>
  <c r="M314" i="1" s="1"/>
  <c r="N314" i="1" s="1"/>
  <c r="L313" i="1"/>
  <c r="K313" i="1"/>
  <c r="J313" i="1"/>
  <c r="M313" i="1" s="1"/>
  <c r="N313" i="1" s="1"/>
  <c r="L312" i="1"/>
  <c r="K312" i="1"/>
  <c r="J312" i="1"/>
  <c r="M312" i="1" s="1"/>
  <c r="N312" i="1" s="1"/>
  <c r="L311" i="1"/>
  <c r="K311" i="1"/>
  <c r="J311" i="1"/>
  <c r="M311" i="1" s="1"/>
  <c r="N311" i="1" s="1"/>
  <c r="L307" i="1"/>
  <c r="K307" i="1"/>
  <c r="J307" i="1"/>
  <c r="M307" i="1" s="1"/>
  <c r="L306" i="1"/>
  <c r="K306" i="1"/>
  <c r="J306" i="1"/>
  <c r="M306" i="1" s="1"/>
  <c r="N306" i="1" s="1"/>
  <c r="L302" i="1"/>
  <c r="K302" i="1"/>
  <c r="J302" i="1"/>
  <c r="M302" i="1" s="1"/>
  <c r="L298" i="1"/>
  <c r="K298" i="1"/>
  <c r="J298" i="1"/>
  <c r="M298" i="1" s="1"/>
  <c r="L294" i="1"/>
  <c r="K294" i="1"/>
  <c r="J294" i="1"/>
  <c r="M294" i="1" s="1"/>
  <c r="L293" i="1"/>
  <c r="K293" i="1"/>
  <c r="J293" i="1"/>
  <c r="M293" i="1" s="1"/>
  <c r="N293" i="1" s="1"/>
  <c r="L292" i="1"/>
  <c r="K292" i="1"/>
  <c r="J292" i="1"/>
  <c r="M292" i="1" s="1"/>
  <c r="N292" i="1" s="1"/>
  <c r="L288" i="1"/>
  <c r="K288" i="1"/>
  <c r="J288" i="1"/>
  <c r="L287" i="1"/>
  <c r="K287" i="1"/>
  <c r="J287" i="1"/>
  <c r="L286" i="1"/>
  <c r="K286" i="1"/>
  <c r="J286" i="1"/>
  <c r="L285" i="1"/>
  <c r="K285" i="1"/>
  <c r="J285" i="1"/>
  <c r="L284" i="1"/>
  <c r="K284" i="1"/>
  <c r="J284" i="1"/>
  <c r="L283" i="1"/>
  <c r="K283" i="1"/>
  <c r="J283" i="1"/>
  <c r="L282" i="1"/>
  <c r="K282" i="1"/>
  <c r="J282" i="1"/>
  <c r="L278" i="1"/>
  <c r="K278" i="1"/>
  <c r="J278" i="1"/>
  <c r="L277" i="1"/>
  <c r="K277" i="1"/>
  <c r="J277" i="1"/>
  <c r="L276" i="1"/>
  <c r="K276" i="1"/>
  <c r="J276" i="1"/>
  <c r="L272" i="1"/>
  <c r="K272" i="1"/>
  <c r="J272" i="1"/>
  <c r="M272" i="1" s="1"/>
  <c r="L271" i="1"/>
  <c r="K271" i="1"/>
  <c r="J271" i="1"/>
  <c r="M271" i="1" s="1"/>
  <c r="N271" i="1" s="1"/>
  <c r="L267" i="1"/>
  <c r="K267" i="1"/>
  <c r="J267" i="1"/>
  <c r="M267" i="1" s="1"/>
  <c r="L266" i="1"/>
  <c r="K266" i="1"/>
  <c r="J266" i="1"/>
  <c r="M266" i="1" s="1"/>
  <c r="N266" i="1" s="1"/>
  <c r="L262" i="1"/>
  <c r="K262" i="1"/>
  <c r="J262" i="1"/>
  <c r="L258" i="1"/>
  <c r="K258" i="1"/>
  <c r="J258" i="1"/>
  <c r="M258" i="1" s="1"/>
  <c r="L257" i="1"/>
  <c r="K257" i="1"/>
  <c r="J257" i="1"/>
  <c r="M257" i="1" s="1"/>
  <c r="N257" i="1" s="1"/>
  <c r="L256" i="1"/>
  <c r="K256" i="1"/>
  <c r="J256" i="1"/>
  <c r="M256" i="1" s="1"/>
  <c r="N256" i="1" s="1"/>
  <c r="L252" i="1"/>
  <c r="K252" i="1"/>
  <c r="J252" i="1"/>
  <c r="L251" i="1"/>
  <c r="K251" i="1"/>
  <c r="J251" i="1"/>
  <c r="L250" i="1"/>
  <c r="K250" i="1"/>
  <c r="J250" i="1"/>
  <c r="L249" i="1"/>
  <c r="K249" i="1"/>
  <c r="J249" i="1"/>
  <c r="L245" i="1"/>
  <c r="K245" i="1"/>
  <c r="J245" i="1"/>
  <c r="M245" i="1" s="1"/>
  <c r="L244" i="1"/>
  <c r="K244" i="1"/>
  <c r="J244" i="1"/>
  <c r="M244" i="1" s="1"/>
  <c r="N244" i="1" s="1"/>
  <c r="L240" i="1"/>
  <c r="K240" i="1"/>
  <c r="J240" i="1"/>
  <c r="L239" i="1"/>
  <c r="K239" i="1"/>
  <c r="J239" i="1"/>
  <c r="L238" i="1"/>
  <c r="K238" i="1"/>
  <c r="J238" i="1"/>
  <c r="L237" i="1"/>
  <c r="K237" i="1"/>
  <c r="J237" i="1"/>
  <c r="L233" i="1"/>
  <c r="K233" i="1"/>
  <c r="J233" i="1"/>
  <c r="M233" i="1" s="1"/>
  <c r="L232" i="1"/>
  <c r="K232" i="1"/>
  <c r="J232" i="1"/>
  <c r="M232" i="1" s="1"/>
  <c r="N232" i="1" s="1"/>
  <c r="L228" i="1"/>
  <c r="K228" i="1"/>
  <c r="J228" i="1"/>
  <c r="M228" i="1" s="1"/>
  <c r="L227" i="1"/>
  <c r="K227" i="1"/>
  <c r="J227" i="1"/>
  <c r="L226" i="1"/>
  <c r="K226" i="1"/>
  <c r="J226" i="1"/>
  <c r="L222" i="1"/>
  <c r="K222" i="1"/>
  <c r="J222" i="1"/>
  <c r="L221" i="1"/>
  <c r="K221" i="1"/>
  <c r="J221" i="1"/>
  <c r="L220" i="1"/>
  <c r="K220" i="1"/>
  <c r="J220" i="1"/>
  <c r="L219" i="1"/>
  <c r="K219" i="1"/>
  <c r="J219" i="1"/>
  <c r="L218" i="1"/>
  <c r="K218" i="1"/>
  <c r="J218" i="1"/>
  <c r="L214" i="1"/>
  <c r="K214" i="1"/>
  <c r="J214" i="1"/>
  <c r="M214" i="1" s="1"/>
  <c r="L213" i="1"/>
  <c r="K213" i="1"/>
  <c r="J213" i="1"/>
  <c r="L212" i="1"/>
  <c r="K212" i="1"/>
  <c r="J212" i="1"/>
  <c r="L211" i="1"/>
  <c r="K211" i="1"/>
  <c r="J211" i="1"/>
  <c r="L210" i="1"/>
  <c r="K210" i="1"/>
  <c r="J210" i="1"/>
  <c r="L206" i="1"/>
  <c r="K206" i="1"/>
  <c r="J206" i="1"/>
  <c r="L202" i="1"/>
  <c r="K202" i="1"/>
  <c r="J202" i="1"/>
  <c r="L201" i="1"/>
  <c r="K201" i="1"/>
  <c r="J201" i="1"/>
  <c r="L200" i="1"/>
  <c r="K200" i="1"/>
  <c r="J200" i="1"/>
  <c r="L199" i="1"/>
  <c r="K199" i="1"/>
  <c r="J199" i="1"/>
  <c r="L198" i="1"/>
  <c r="K198" i="1"/>
  <c r="J198" i="1"/>
  <c r="L197" i="1"/>
  <c r="K197" i="1"/>
  <c r="J197" i="1"/>
  <c r="L196" i="1"/>
  <c r="K196" i="1"/>
  <c r="J196" i="1"/>
  <c r="L192" i="1"/>
  <c r="K192" i="1"/>
  <c r="J192" i="1"/>
  <c r="L191" i="1"/>
  <c r="K191" i="1"/>
  <c r="J191" i="1"/>
  <c r="L190" i="1"/>
  <c r="K190" i="1"/>
  <c r="J190" i="1"/>
  <c r="L189" i="1"/>
  <c r="K189" i="1"/>
  <c r="J189" i="1"/>
  <c r="L188" i="1"/>
  <c r="K188" i="1"/>
  <c r="J188" i="1"/>
  <c r="L184" i="1"/>
  <c r="K184" i="1"/>
  <c r="J184" i="1"/>
  <c r="M184" i="1" s="1"/>
  <c r="L183" i="1"/>
  <c r="K183" i="1"/>
  <c r="J183" i="1"/>
  <c r="M183" i="1" s="1"/>
  <c r="N183" i="1" s="1"/>
  <c r="L179" i="1"/>
  <c r="K179" i="1"/>
  <c r="J179" i="1"/>
  <c r="M179" i="1" s="1"/>
  <c r="L178" i="1"/>
  <c r="K178" i="1"/>
  <c r="J178" i="1"/>
  <c r="M178" i="1" s="1"/>
  <c r="N178" i="1" s="1"/>
  <c r="L174" i="1"/>
  <c r="K174" i="1"/>
  <c r="J174" i="1"/>
  <c r="L173" i="1"/>
  <c r="K173" i="1"/>
  <c r="J173" i="1"/>
  <c r="L172" i="1"/>
  <c r="K172" i="1"/>
  <c r="J172" i="1"/>
  <c r="L171" i="1"/>
  <c r="K171" i="1"/>
  <c r="J171" i="1"/>
  <c r="L170" i="1"/>
  <c r="K170" i="1"/>
  <c r="J170" i="1"/>
  <c r="L169" i="1"/>
  <c r="K169" i="1"/>
  <c r="J169" i="1"/>
  <c r="L165" i="1"/>
  <c r="K165" i="1"/>
  <c r="J165" i="1"/>
  <c r="L161" i="1"/>
  <c r="K161" i="1"/>
  <c r="J161" i="1"/>
  <c r="L160" i="1"/>
  <c r="K160" i="1"/>
  <c r="J160" i="1"/>
  <c r="L159" i="1"/>
  <c r="K159" i="1"/>
  <c r="J159" i="1"/>
  <c r="L155" i="1"/>
  <c r="K155" i="1"/>
  <c r="J155" i="1"/>
  <c r="L151" i="1"/>
  <c r="K151" i="1"/>
  <c r="J151" i="1"/>
  <c r="L150" i="1"/>
  <c r="K150" i="1"/>
  <c r="J150" i="1"/>
  <c r="L149" i="1"/>
  <c r="K149" i="1"/>
  <c r="J149" i="1"/>
  <c r="L145" i="1"/>
  <c r="K145" i="1"/>
  <c r="J145" i="1"/>
  <c r="M145" i="1" s="1"/>
  <c r="L141" i="1"/>
  <c r="K141" i="1"/>
  <c r="J141" i="1"/>
  <c r="M141" i="1" s="1"/>
  <c r="L137" i="1"/>
  <c r="K137" i="1"/>
  <c r="J137" i="1"/>
  <c r="M137" i="1" s="1"/>
  <c r="L136" i="1"/>
  <c r="K136" i="1"/>
  <c r="J136" i="1"/>
  <c r="M136" i="1" s="1"/>
  <c r="N136" i="1" s="1"/>
  <c r="L135" i="1"/>
  <c r="K135" i="1"/>
  <c r="J135" i="1"/>
  <c r="M135" i="1" s="1"/>
  <c r="N135" i="1" s="1"/>
  <c r="L131" i="1"/>
  <c r="K131" i="1"/>
  <c r="J131" i="1"/>
  <c r="M131" i="1" s="1"/>
  <c r="L127" i="1"/>
  <c r="K127" i="1"/>
  <c r="J127" i="1"/>
  <c r="L126" i="1"/>
  <c r="K126" i="1"/>
  <c r="J126" i="1"/>
  <c r="L125" i="1"/>
  <c r="K125" i="1"/>
  <c r="J125" i="1"/>
  <c r="L124" i="1"/>
  <c r="K124" i="1"/>
  <c r="J124" i="1"/>
  <c r="L120" i="1"/>
  <c r="K120" i="1"/>
  <c r="J120" i="1"/>
  <c r="L116" i="1"/>
  <c r="K116" i="1"/>
  <c r="J116" i="1"/>
  <c r="L115" i="1"/>
  <c r="K115" i="1"/>
  <c r="J115" i="1"/>
  <c r="L114" i="1"/>
  <c r="K114" i="1"/>
  <c r="J114" i="1"/>
  <c r="L113" i="1"/>
  <c r="K113" i="1"/>
  <c r="J113" i="1"/>
  <c r="L109" i="1"/>
  <c r="K109" i="1"/>
  <c r="J109" i="1"/>
  <c r="L108" i="1"/>
  <c r="K108" i="1"/>
  <c r="J108" i="1"/>
  <c r="L104" i="1"/>
  <c r="K104" i="1"/>
  <c r="J104" i="1"/>
  <c r="L100" i="1"/>
  <c r="K100" i="1"/>
  <c r="J100" i="1"/>
  <c r="M100" i="1" s="1"/>
  <c r="L96" i="1"/>
  <c r="K96" i="1"/>
  <c r="J96" i="1"/>
  <c r="M96" i="1" s="1"/>
  <c r="L92" i="1"/>
  <c r="K92" i="1"/>
  <c r="J92" i="1"/>
  <c r="M92" i="1" s="1"/>
  <c r="L91" i="1"/>
  <c r="K91" i="1"/>
  <c r="J91" i="1"/>
  <c r="L90" i="1"/>
  <c r="K90" i="1"/>
  <c r="J90" i="1"/>
  <c r="L89" i="1"/>
  <c r="K89" i="1"/>
  <c r="J89" i="1"/>
  <c r="L85" i="1"/>
  <c r="K85" i="1"/>
  <c r="J85" i="1"/>
  <c r="M85" i="1" s="1"/>
  <c r="L84" i="1"/>
  <c r="K84" i="1"/>
  <c r="J84" i="1"/>
  <c r="M84" i="1" s="1"/>
  <c r="N84" i="1" s="1"/>
  <c r="L83" i="1"/>
  <c r="K83" i="1"/>
  <c r="J83" i="1"/>
  <c r="M83" i="1" s="1"/>
  <c r="N83" i="1" s="1"/>
  <c r="L82" i="1"/>
  <c r="K82" i="1"/>
  <c r="J82" i="1"/>
  <c r="M82" i="1" s="1"/>
  <c r="N82" i="1" s="1"/>
  <c r="L81" i="1"/>
  <c r="K81" i="1"/>
  <c r="J81" i="1"/>
  <c r="M81" i="1" s="1"/>
  <c r="N81" i="1" s="1"/>
  <c r="L77" i="1"/>
  <c r="K77" i="1"/>
  <c r="J77" i="1"/>
  <c r="M77" i="1" s="1"/>
  <c r="L73" i="1"/>
  <c r="K73" i="1"/>
  <c r="J73" i="1"/>
  <c r="M73" i="1" s="1"/>
  <c r="L69" i="1"/>
  <c r="K69" i="1"/>
  <c r="J69" i="1"/>
  <c r="M69" i="1" s="1"/>
  <c r="L68" i="1"/>
  <c r="K68" i="1"/>
  <c r="J68" i="1"/>
  <c r="M68" i="1" s="1"/>
  <c r="N68" i="1" s="1"/>
  <c r="L64" i="1"/>
  <c r="K64" i="1"/>
  <c r="J64" i="1"/>
  <c r="L63" i="1"/>
  <c r="K63" i="1"/>
  <c r="J63" i="1"/>
  <c r="L62" i="1"/>
  <c r="K62" i="1"/>
  <c r="J62" i="1"/>
  <c r="L61" i="1"/>
  <c r="K61" i="1"/>
  <c r="J61" i="1"/>
  <c r="M61" i="1" s="1"/>
  <c r="N61" i="1" s="1"/>
  <c r="L57" i="1"/>
  <c r="K57" i="1"/>
  <c r="J57" i="1"/>
  <c r="M57" i="1" s="1"/>
  <c r="L56" i="1"/>
  <c r="K56" i="1"/>
  <c r="J56" i="1"/>
  <c r="M56" i="1" s="1"/>
  <c r="N56" i="1" s="1"/>
  <c r="L55" i="1"/>
  <c r="K55" i="1"/>
  <c r="J55" i="1"/>
  <c r="M55" i="1" s="1"/>
  <c r="N55" i="1" s="1"/>
  <c r="L51" i="1"/>
  <c r="K51" i="1"/>
  <c r="J51" i="1"/>
  <c r="M51" i="1" s="1"/>
  <c r="L47" i="1"/>
  <c r="K47" i="1"/>
  <c r="J47" i="1"/>
  <c r="M47" i="1" s="1"/>
  <c r="L43" i="1"/>
  <c r="K43" i="1"/>
  <c r="J43" i="1"/>
  <c r="M43" i="1" s="1"/>
  <c r="L42" i="1"/>
  <c r="K42" i="1"/>
  <c r="J42" i="1"/>
  <c r="M42" i="1" s="1"/>
  <c r="N42" i="1" s="1"/>
  <c r="L41" i="1"/>
  <c r="K41" i="1"/>
  <c r="J41" i="1"/>
  <c r="M41" i="1" s="1"/>
  <c r="N41" i="1" s="1"/>
  <c r="L37" i="1"/>
  <c r="K37" i="1"/>
  <c r="J37" i="1"/>
  <c r="M37" i="1" s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24" i="1"/>
  <c r="K24" i="1"/>
  <c r="J24" i="1"/>
  <c r="L20" i="1"/>
  <c r="K20" i="1"/>
  <c r="J20" i="1"/>
  <c r="L19" i="1"/>
  <c r="K19" i="1"/>
  <c r="J19" i="1"/>
  <c r="L18" i="1"/>
  <c r="K18" i="1"/>
  <c r="J18" i="1"/>
  <c r="L17" i="1"/>
  <c r="K17" i="1"/>
  <c r="J17" i="1"/>
  <c r="L16" i="1"/>
  <c r="K16" i="1"/>
  <c r="J16" i="1"/>
  <c r="L12" i="1"/>
  <c r="K12" i="1"/>
  <c r="J12" i="1"/>
  <c r="L11" i="1"/>
  <c r="K11" i="1"/>
  <c r="J11" i="1"/>
  <c r="L10" i="1"/>
  <c r="K10" i="1"/>
  <c r="J10" i="1"/>
  <c r="L9" i="1"/>
  <c r="K9" i="1"/>
  <c r="J9" i="1"/>
  <c r="L8" i="1"/>
  <c r="K8" i="1"/>
  <c r="J8" i="1"/>
  <c r="L7" i="1"/>
  <c r="K7" i="1"/>
  <c r="J7" i="1"/>
  <c r="L6" i="1"/>
  <c r="K6" i="1"/>
  <c r="J6" i="1"/>
  <c r="L2" i="1"/>
  <c r="K2" i="1"/>
  <c r="J2" i="1"/>
  <c r="M2" i="1" s="1"/>
  <c r="M226" i="1" l="1"/>
  <c r="N226" i="1" s="1"/>
  <c r="M227" i="1"/>
  <c r="N227" i="1" s="1"/>
  <c r="M213" i="1"/>
  <c r="N213" i="1" s="1"/>
  <c r="M212" i="1"/>
  <c r="N212" i="1" s="1"/>
  <c r="M211" i="1"/>
  <c r="N211" i="1" s="1"/>
  <c r="M210" i="1"/>
  <c r="N210" i="1" s="1"/>
  <c r="N215" i="1" s="1"/>
  <c r="N216" i="1" s="1"/>
  <c r="M155" i="1"/>
  <c r="M165" i="1"/>
  <c r="N165" i="1" s="1"/>
  <c r="M159" i="1"/>
  <c r="N159" i="1" s="1"/>
  <c r="M160" i="1"/>
  <c r="N160" i="1" s="1"/>
  <c r="M161" i="1"/>
  <c r="M124" i="1"/>
  <c r="N124" i="1" s="1"/>
  <c r="M125" i="1"/>
  <c r="N125" i="1" s="1"/>
  <c r="M126" i="1"/>
  <c r="N126" i="1" s="1"/>
  <c r="M127" i="1"/>
  <c r="N127" i="1" s="1"/>
  <c r="M120" i="1"/>
  <c r="N120" i="1" s="1"/>
  <c r="M104" i="1"/>
  <c r="N104" i="1" s="1"/>
  <c r="M89" i="1"/>
  <c r="N89" i="1" s="1"/>
  <c r="M90" i="1"/>
  <c r="N90" i="1" s="1"/>
  <c r="M91" i="1"/>
  <c r="N91" i="1" s="1"/>
  <c r="M62" i="1"/>
  <c r="N62" i="1" s="1"/>
  <c r="M63" i="1"/>
  <c r="N63" i="1" s="1"/>
  <c r="M64" i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538" i="1"/>
  <c r="N538" i="1" s="1"/>
  <c r="N539" i="1" s="1"/>
  <c r="N540" i="1" s="1"/>
  <c r="M599" i="1"/>
  <c r="N599" i="1" s="1"/>
  <c r="M597" i="1"/>
  <c r="N597" i="1" s="1"/>
  <c r="M598" i="1"/>
  <c r="N598" i="1" s="1"/>
  <c r="M596" i="1"/>
  <c r="N596" i="1" s="1"/>
  <c r="M584" i="1"/>
  <c r="M655" i="1"/>
  <c r="N655" i="1" s="1"/>
  <c r="M583" i="1"/>
  <c r="N583" i="1" s="1"/>
  <c r="M581" i="1"/>
  <c r="N581" i="1" s="1"/>
  <c r="M580" i="1"/>
  <c r="N580" i="1" s="1"/>
  <c r="M576" i="1"/>
  <c r="M444" i="1"/>
  <c r="N444" i="1" s="1"/>
  <c r="N450" i="1" s="1"/>
  <c r="N451" i="1" s="1"/>
  <c r="M449" i="1"/>
  <c r="M445" i="1"/>
  <c r="N445" i="1" s="1"/>
  <c r="M446" i="1"/>
  <c r="N446" i="1" s="1"/>
  <c r="M448" i="1"/>
  <c r="N448" i="1" s="1"/>
  <c r="M469" i="1"/>
  <c r="N469" i="1" s="1"/>
  <c r="M470" i="1"/>
  <c r="M468" i="1"/>
  <c r="N468" i="1" s="1"/>
  <c r="M463" i="1"/>
  <c r="N463" i="1" s="1"/>
  <c r="M462" i="1"/>
  <c r="N462" i="1" s="1"/>
  <c r="M464" i="1"/>
  <c r="N464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262" i="1"/>
  <c r="N262" i="1" s="1"/>
  <c r="M206" i="1"/>
  <c r="N206" i="1" s="1"/>
  <c r="M24" i="1"/>
  <c r="M390" i="1"/>
  <c r="N390" i="1" s="1"/>
  <c r="M386" i="1"/>
  <c r="N386" i="1" s="1"/>
  <c r="M385" i="1"/>
  <c r="N385" i="1" s="1"/>
  <c r="M387" i="1"/>
  <c r="N387" i="1" s="1"/>
  <c r="M388" i="1"/>
  <c r="N388" i="1" s="1"/>
  <c r="M389" i="1"/>
  <c r="N389" i="1" s="1"/>
  <c r="M150" i="1"/>
  <c r="N150" i="1" s="1"/>
  <c r="M149" i="1"/>
  <c r="N149" i="1" s="1"/>
  <c r="M151" i="1"/>
  <c r="N151" i="1" s="1"/>
  <c r="M680" i="1"/>
  <c r="N680" i="1" s="1"/>
  <c r="M681" i="1"/>
  <c r="N681" i="1" s="1"/>
  <c r="M682" i="1"/>
  <c r="N682" i="1" s="1"/>
  <c r="M683" i="1"/>
  <c r="N683" i="1" s="1"/>
  <c r="M685" i="1"/>
  <c r="N685" i="1" s="1"/>
  <c r="M200" i="1"/>
  <c r="N200" i="1" s="1"/>
  <c r="M199" i="1"/>
  <c r="N199" i="1" s="1"/>
  <c r="M197" i="1"/>
  <c r="N197" i="1" s="1"/>
  <c r="M196" i="1"/>
  <c r="N196" i="1" s="1"/>
  <c r="M198" i="1"/>
  <c r="N198" i="1" s="1"/>
  <c r="M201" i="1"/>
  <c r="N201" i="1" s="1"/>
  <c r="M202" i="1"/>
  <c r="N202" i="1" s="1"/>
  <c r="M192" i="1"/>
  <c r="M189" i="1"/>
  <c r="N189" i="1" s="1"/>
  <c r="M188" i="1"/>
  <c r="N188" i="1" s="1"/>
  <c r="M191" i="1"/>
  <c r="N191" i="1" s="1"/>
  <c r="M190" i="1"/>
  <c r="N190" i="1" s="1"/>
  <c r="M169" i="1"/>
  <c r="N169" i="1" s="1"/>
  <c r="M173" i="1"/>
  <c r="N173" i="1" s="1"/>
  <c r="M170" i="1"/>
  <c r="N170" i="1" s="1"/>
  <c r="M171" i="1"/>
  <c r="N171" i="1" s="1"/>
  <c r="M174" i="1"/>
  <c r="N174" i="1" s="1"/>
  <c r="M172" i="1"/>
  <c r="N172" i="1" s="1"/>
  <c r="M240" i="1"/>
  <c r="N240" i="1" s="1"/>
  <c r="M218" i="1"/>
  <c r="N218" i="1" s="1"/>
  <c r="M113" i="1"/>
  <c r="N113" i="1" s="1"/>
  <c r="M114" i="1"/>
  <c r="N114" i="1" s="1"/>
  <c r="M115" i="1"/>
  <c r="N115" i="1" s="1"/>
  <c r="N117" i="1" s="1"/>
  <c r="N118" i="1" s="1"/>
  <c r="M116" i="1"/>
  <c r="M109" i="1"/>
  <c r="M108" i="1"/>
  <c r="N108" i="1" s="1"/>
  <c r="M436" i="1"/>
  <c r="N436" i="1" s="1"/>
  <c r="M406" i="1"/>
  <c r="N406" i="1" s="1"/>
  <c r="M488" i="1"/>
  <c r="N488" i="1" s="1"/>
  <c r="M484" i="1"/>
  <c r="M480" i="1"/>
  <c r="N480" i="1" s="1"/>
  <c r="N481" i="1" s="1"/>
  <c r="N482" i="1" s="1"/>
  <c r="M475" i="1"/>
  <c r="N475" i="1" s="1"/>
  <c r="M474" i="1"/>
  <c r="N474" i="1" s="1"/>
  <c r="M252" i="1"/>
  <c r="N252" i="1" s="1"/>
  <c r="M251" i="1"/>
  <c r="N251" i="1" s="1"/>
  <c r="M249" i="1"/>
  <c r="N249" i="1" s="1"/>
  <c r="M250" i="1"/>
  <c r="N250" i="1" s="1"/>
  <c r="M238" i="1"/>
  <c r="N238" i="1" s="1"/>
  <c r="M239" i="1"/>
  <c r="N239" i="1" s="1"/>
  <c r="M237" i="1"/>
  <c r="N237" i="1" s="1"/>
  <c r="M219" i="1"/>
  <c r="N219" i="1" s="1"/>
  <c r="M222" i="1"/>
  <c r="N222" i="1" s="1"/>
  <c r="M220" i="1"/>
  <c r="N220" i="1" s="1"/>
  <c r="M221" i="1"/>
  <c r="N221" i="1" s="1"/>
  <c r="M532" i="1"/>
  <c r="N532" i="1" s="1"/>
  <c r="M18" i="1"/>
  <c r="N18" i="1" s="1"/>
  <c r="M377" i="1"/>
  <c r="N377" i="1" s="1"/>
  <c r="N515" i="1"/>
  <c r="N516" i="1"/>
  <c r="N517" i="1" s="1"/>
  <c r="N116" i="1"/>
  <c r="N432" i="1"/>
  <c r="N433" i="1"/>
  <c r="N434" i="1" s="1"/>
  <c r="N367" i="1"/>
  <c r="N368" i="1"/>
  <c r="N369" i="1" s="1"/>
  <c r="N505" i="1"/>
  <c r="N506" i="1"/>
  <c r="N507" i="1" s="1"/>
  <c r="N572" i="1"/>
  <c r="N573" i="1"/>
  <c r="N574" i="1" s="1"/>
  <c r="N630" i="1"/>
  <c r="N631" i="1"/>
  <c r="N632" i="1" s="1"/>
  <c r="N307" i="1"/>
  <c r="N308" i="1"/>
  <c r="N309" i="1" s="1"/>
  <c r="N73" i="1"/>
  <c r="N74" i="1"/>
  <c r="N75" i="1" s="1"/>
  <c r="N402" i="1"/>
  <c r="N403" i="1"/>
  <c r="N404" i="1" s="1"/>
  <c r="N69" i="1"/>
  <c r="N70" i="1"/>
  <c r="N71" i="1" s="1"/>
  <c r="N145" i="1"/>
  <c r="N146" i="1"/>
  <c r="N147" i="1" s="1"/>
  <c r="M6" i="1"/>
  <c r="N6" i="1" s="1"/>
  <c r="N47" i="1"/>
  <c r="N48" i="1"/>
  <c r="N49" i="1" s="1"/>
  <c r="N131" i="1"/>
  <c r="N132" i="1"/>
  <c r="N133" i="1" s="1"/>
  <c r="N298" i="1"/>
  <c r="N299" i="1"/>
  <c r="N300" i="1" s="1"/>
  <c r="N315" i="1"/>
  <c r="N316" i="1"/>
  <c r="N317" i="1" s="1"/>
  <c r="N346" i="1"/>
  <c r="N347" i="1"/>
  <c r="N348" i="1" s="1"/>
  <c r="N525" i="1"/>
  <c r="N526" i="1"/>
  <c r="N527" i="1" s="1"/>
  <c r="N609" i="1"/>
  <c r="N610" i="1"/>
  <c r="N611" i="1" s="1"/>
  <c r="N647" i="1"/>
  <c r="N648" i="1"/>
  <c r="N649" i="1" s="1"/>
  <c r="N661" i="1"/>
  <c r="N662" i="1"/>
  <c r="N663" i="1" s="1"/>
  <c r="N672" i="1"/>
  <c r="N673" i="1"/>
  <c r="N674" i="1" s="1"/>
  <c r="N137" i="1"/>
  <c r="N138" i="1"/>
  <c r="N139" i="1" s="1"/>
  <c r="N656" i="1"/>
  <c r="N657" i="1" s="1"/>
  <c r="N658" i="1" s="1"/>
  <c r="N51" i="1"/>
  <c r="N52" i="1"/>
  <c r="N53" i="1" s="1"/>
  <c r="N302" i="1"/>
  <c r="N303" i="1"/>
  <c r="N304" i="1" s="1"/>
  <c r="N319" i="1"/>
  <c r="N320" i="1"/>
  <c r="N321" i="1" s="1"/>
  <c r="N372" i="1"/>
  <c r="N373" i="1"/>
  <c r="N374" i="1" s="1"/>
  <c r="N551" i="1"/>
  <c r="N552" i="1"/>
  <c r="N553" i="1" s="1"/>
  <c r="N613" i="1"/>
  <c r="N614" i="1"/>
  <c r="N615" i="1" s="1"/>
  <c r="N620" i="1"/>
  <c r="N621" i="1"/>
  <c r="N622" i="1" s="1"/>
  <c r="N651" i="1"/>
  <c r="N652" i="1"/>
  <c r="N653" i="1" s="1"/>
  <c r="N676" i="1"/>
  <c r="N677" i="1"/>
  <c r="N678" i="1" s="1"/>
  <c r="N245" i="1"/>
  <c r="N246" i="1"/>
  <c r="N247" i="1" s="1"/>
  <c r="N520" i="1"/>
  <c r="N521" i="1"/>
  <c r="N522" i="1" s="1"/>
  <c r="N179" i="1"/>
  <c r="N180" i="1"/>
  <c r="N181" i="1" s="1"/>
  <c r="N24" i="1"/>
  <c r="N25" i="1" s="1"/>
  <c r="N26" i="1" s="1"/>
  <c r="N141" i="1"/>
  <c r="N142" i="1"/>
  <c r="N143" i="1" s="1"/>
  <c r="N155" i="1"/>
  <c r="N156" i="1"/>
  <c r="N157" i="1" s="1"/>
  <c r="N394" i="1"/>
  <c r="N395" i="1"/>
  <c r="N396" i="1" s="1"/>
  <c r="N543" i="1"/>
  <c r="N544" i="1"/>
  <c r="N545" i="1" s="1"/>
  <c r="N565" i="1"/>
  <c r="N566" i="1"/>
  <c r="N567" i="1" s="1"/>
  <c r="N624" i="1"/>
  <c r="N625" i="1"/>
  <c r="N626" i="1" s="1"/>
  <c r="N358" i="1"/>
  <c r="N359" i="1"/>
  <c r="N360" i="1" s="1"/>
  <c r="N440" i="1"/>
  <c r="N441" i="1"/>
  <c r="N442" i="1" s="1"/>
  <c r="N559" i="1"/>
  <c r="N560" i="1"/>
  <c r="N561" i="1" s="1"/>
  <c r="N92" i="1"/>
  <c r="N93" i="1"/>
  <c r="N94" i="1" s="1"/>
  <c r="N43" i="1"/>
  <c r="N44" i="1"/>
  <c r="N45" i="1" s="1"/>
  <c r="N57" i="1"/>
  <c r="N58" i="1"/>
  <c r="N59" i="1" s="1"/>
  <c r="N77" i="1"/>
  <c r="N78" i="1"/>
  <c r="N79" i="1" s="1"/>
  <c r="N233" i="1"/>
  <c r="N234" i="1"/>
  <c r="N235" i="1" s="1"/>
  <c r="N294" i="1"/>
  <c r="N295" i="1"/>
  <c r="N296" i="1" s="1"/>
  <c r="N362" i="1"/>
  <c r="N363" i="1"/>
  <c r="N364" i="1" s="1"/>
  <c r="N419" i="1"/>
  <c r="N420" i="1"/>
  <c r="N421" i="1" s="1"/>
  <c r="N449" i="1"/>
  <c r="N643" i="1"/>
  <c r="N644" i="1"/>
  <c r="N645" i="1" s="1"/>
  <c r="N668" i="1"/>
  <c r="N669" i="1"/>
  <c r="N670" i="1" s="1"/>
  <c r="N121" i="1"/>
  <c r="N122" i="1" s="1"/>
  <c r="N501" i="1"/>
  <c r="N502" i="1"/>
  <c r="N503" i="1" s="1"/>
  <c r="N37" i="1"/>
  <c r="N38" i="1"/>
  <c r="N39" i="1" s="1"/>
  <c r="N2" i="1"/>
  <c r="N3" i="1"/>
  <c r="N4" i="1" s="1"/>
  <c r="M8" i="1"/>
  <c r="N8" i="1" s="1"/>
  <c r="M19" i="1"/>
  <c r="N19" i="1" s="1"/>
  <c r="N96" i="1"/>
  <c r="N97" i="1"/>
  <c r="N98" i="1" s="1"/>
  <c r="N214" i="1"/>
  <c r="N258" i="1"/>
  <c r="N259" i="1"/>
  <c r="N260" i="1" s="1"/>
  <c r="N272" i="1"/>
  <c r="N273" i="1"/>
  <c r="N274" i="1" s="1"/>
  <c r="N584" i="1"/>
  <c r="N592" i="1"/>
  <c r="N593" i="1"/>
  <c r="N594" i="1" s="1"/>
  <c r="N600" i="1"/>
  <c r="N601" i="1"/>
  <c r="N602" i="1" s="1"/>
  <c r="N100" i="1"/>
  <c r="N101" i="1"/>
  <c r="N102" i="1" s="1"/>
  <c r="N184" i="1"/>
  <c r="N185" i="1"/>
  <c r="N186" i="1" s="1"/>
  <c r="N192" i="1"/>
  <c r="N193" i="1"/>
  <c r="N194" i="1" s="1"/>
  <c r="N85" i="1"/>
  <c r="N86" i="1"/>
  <c r="N87" i="1" s="1"/>
  <c r="N228" i="1"/>
  <c r="N229" i="1"/>
  <c r="N230" i="1" s="1"/>
  <c r="N267" i="1"/>
  <c r="N268" i="1"/>
  <c r="N269" i="1" s="1"/>
  <c r="N398" i="1"/>
  <c r="N399" i="1"/>
  <c r="N400" i="1" s="1"/>
  <c r="N412" i="1"/>
  <c r="N413" i="1"/>
  <c r="N414" i="1" s="1"/>
  <c r="N425" i="1"/>
  <c r="N426" i="1"/>
  <c r="N427" i="1" s="1"/>
  <c r="N492" i="1"/>
  <c r="N493" i="1"/>
  <c r="N494" i="1" s="1"/>
  <c r="N510" i="1"/>
  <c r="N511" i="1"/>
  <c r="N512" i="1" s="1"/>
  <c r="M533" i="1"/>
  <c r="N533" i="1" s="1"/>
  <c r="N605" i="1"/>
  <c r="N606" i="1"/>
  <c r="N607" i="1" s="1"/>
  <c r="N638" i="1"/>
  <c r="N639" i="1"/>
  <c r="N640" i="1" s="1"/>
  <c r="M277" i="1"/>
  <c r="N277" i="1" s="1"/>
  <c r="M278" i="1"/>
  <c r="N278" i="1" s="1"/>
  <c r="M276" i="1"/>
  <c r="N276" i="1" s="1"/>
  <c r="M17" i="1"/>
  <c r="N17" i="1" s="1"/>
  <c r="M16" i="1"/>
  <c r="N16" i="1" s="1"/>
  <c r="M20" i="1"/>
  <c r="N20" i="1" s="1"/>
  <c r="M12" i="1"/>
  <c r="N12" i="1" s="1"/>
  <c r="M10" i="1"/>
  <c r="N10" i="1" s="1"/>
  <c r="M7" i="1"/>
  <c r="N7" i="1" s="1"/>
  <c r="M11" i="1"/>
  <c r="N11" i="1" s="1"/>
  <c r="M9" i="1"/>
  <c r="N9" i="1" s="1"/>
  <c r="M324" i="1"/>
  <c r="N324" i="1" s="1"/>
  <c r="M325" i="1"/>
  <c r="N325" i="1" s="1"/>
  <c r="M282" i="1"/>
  <c r="N282" i="1" s="1"/>
  <c r="M351" i="1"/>
  <c r="N351" i="1" s="1"/>
  <c r="M378" i="1"/>
  <c r="N378" i="1" s="1"/>
  <c r="M284" i="1"/>
  <c r="N284" i="1" s="1"/>
  <c r="M288" i="1"/>
  <c r="M287" i="1"/>
  <c r="N287" i="1" s="1"/>
  <c r="M286" i="1"/>
  <c r="N286" i="1" s="1"/>
  <c r="M285" i="1"/>
  <c r="N285" i="1" s="1"/>
  <c r="M283" i="1"/>
  <c r="N283" i="1" s="1"/>
  <c r="M530" i="1"/>
  <c r="N530" i="1" s="1"/>
  <c r="M534" i="1"/>
  <c r="M531" i="1"/>
  <c r="N531" i="1" s="1"/>
  <c r="M529" i="1"/>
  <c r="N529" i="1" s="1"/>
  <c r="M380" i="1"/>
  <c r="M379" i="1"/>
  <c r="N379" i="1" s="1"/>
  <c r="M376" i="1"/>
  <c r="N376" i="1" s="1"/>
  <c r="M352" i="1"/>
  <c r="N352" i="1" s="1"/>
  <c r="M353" i="1"/>
  <c r="N353" i="1" s="1"/>
  <c r="M354" i="1"/>
  <c r="M350" i="1"/>
  <c r="N350" i="1" s="1"/>
  <c r="M332" i="1"/>
  <c r="M326" i="1"/>
  <c r="N326" i="1" s="1"/>
  <c r="M323" i="1"/>
  <c r="N323" i="1" s="1"/>
  <c r="M328" i="1"/>
  <c r="M327" i="1"/>
  <c r="N327" i="1" s="1"/>
  <c r="M341" i="1"/>
  <c r="N341" i="1" s="1"/>
  <c r="M337" i="1"/>
  <c r="N337" i="1" s="1"/>
  <c r="M342" i="1"/>
  <c r="M340" i="1"/>
  <c r="N340" i="1" s="1"/>
  <c r="M339" i="1"/>
  <c r="N339" i="1" s="1"/>
  <c r="M338" i="1"/>
  <c r="N338" i="1" s="1"/>
  <c r="M336" i="1"/>
  <c r="N336" i="1" s="1"/>
  <c r="N166" i="1" l="1"/>
  <c r="N167" i="1" s="1"/>
  <c r="N161" i="1"/>
  <c r="N162" i="1" s="1"/>
  <c r="N163" i="1" s="1"/>
  <c r="N128" i="1"/>
  <c r="N129" i="1" s="1"/>
  <c r="N105" i="1"/>
  <c r="N106" i="1" s="1"/>
  <c r="N64" i="1"/>
  <c r="N65" i="1" s="1"/>
  <c r="N66" i="1" s="1"/>
  <c r="N34" i="1"/>
  <c r="N35" i="1" s="1"/>
  <c r="N241" i="1"/>
  <c r="N242" i="1" s="1"/>
  <c r="N203" i="1"/>
  <c r="N204" i="1" s="1"/>
  <c r="N586" i="1"/>
  <c r="N576" i="1"/>
  <c r="N577" i="1" s="1"/>
  <c r="N578" i="1" s="1"/>
  <c r="N470" i="1"/>
  <c r="N471" i="1" s="1"/>
  <c r="N472" i="1" s="1"/>
  <c r="N465" i="1"/>
  <c r="N466" i="1" s="1"/>
  <c r="N459" i="1"/>
  <c r="N460" i="1" s="1"/>
  <c r="N263" i="1"/>
  <c r="N264" i="1" s="1"/>
  <c r="N207" i="1"/>
  <c r="N208" i="1" s="1"/>
  <c r="N391" i="1"/>
  <c r="N392" i="1" s="1"/>
  <c r="N152" i="1"/>
  <c r="N153" i="1" s="1"/>
  <c r="N686" i="1"/>
  <c r="N687" i="1" s="1"/>
  <c r="N175" i="1"/>
  <c r="N176" i="1" s="1"/>
  <c r="N437" i="1"/>
  <c r="N438" i="1" s="1"/>
  <c r="N109" i="1"/>
  <c r="N110" i="1" s="1"/>
  <c r="N111" i="1" s="1"/>
  <c r="N407" i="1"/>
  <c r="N408" i="1" s="1"/>
  <c r="N489" i="1"/>
  <c r="N490" i="1" s="1"/>
  <c r="N484" i="1"/>
  <c r="N485" i="1" s="1"/>
  <c r="N486" i="1" s="1"/>
  <c r="N476" i="1"/>
  <c r="N477" i="1" s="1"/>
  <c r="N253" i="1"/>
  <c r="N254" i="1" s="1"/>
  <c r="N223" i="1"/>
  <c r="N224" i="1" s="1"/>
  <c r="N354" i="1"/>
  <c r="N355" i="1" s="1"/>
  <c r="N356" i="1" s="1"/>
  <c r="N328" i="1"/>
  <c r="N329" i="1" s="1"/>
  <c r="N330" i="1" s="1"/>
  <c r="N380" i="1"/>
  <c r="N381" i="1" s="1"/>
  <c r="N382" i="1" s="1"/>
  <c r="N332" i="1"/>
  <c r="N333" i="1" s="1"/>
  <c r="N334" i="1" s="1"/>
  <c r="N288" i="1"/>
  <c r="N289" i="1" s="1"/>
  <c r="N290" i="1" s="1"/>
  <c r="N342" i="1"/>
  <c r="N343" i="1" s="1"/>
  <c r="N344" i="1" s="1"/>
  <c r="N534" i="1"/>
  <c r="N535" i="1" s="1"/>
  <c r="N536" i="1" s="1"/>
  <c r="N279" i="1"/>
  <c r="N280" i="1" s="1"/>
  <c r="N21" i="1"/>
  <c r="N22" i="1" s="1"/>
  <c r="N13" i="1"/>
  <c r="N14" i="1" s="1"/>
</calcChain>
</file>

<file path=xl/sharedStrings.xml><?xml version="1.0" encoding="utf-8"?>
<sst xmlns="http://schemas.openxmlformats.org/spreadsheetml/2006/main" count="2642" uniqueCount="452">
  <si>
    <t>Name</t>
  </si>
  <si>
    <t>Tournament</t>
  </si>
  <si>
    <t>Rating 1</t>
  </si>
  <si>
    <t>Player 1</t>
  </si>
  <si>
    <t>Rating 2</t>
  </si>
  <si>
    <t>Player 2</t>
  </si>
  <si>
    <t>Rating 3</t>
  </si>
  <si>
    <t>Player 3</t>
  </si>
  <si>
    <t>Raw Score</t>
  </si>
  <si>
    <t>Weight 1</t>
  </si>
  <si>
    <t>Weight 2</t>
  </si>
  <si>
    <t>Weight 3</t>
  </si>
  <si>
    <t>Share</t>
  </si>
  <si>
    <t>Score</t>
  </si>
  <si>
    <t>Altum, Denise</t>
  </si>
  <si>
    <t>Altum, John</t>
  </si>
  <si>
    <t>Altum, Shawn</t>
  </si>
  <si>
    <t>Average</t>
  </si>
  <si>
    <t>Handicap</t>
  </si>
  <si>
    <t>Hoffman, Kenny</t>
  </si>
  <si>
    <t>Kadura, Rodney</t>
  </si>
  <si>
    <t>Bartsch, Kevin</t>
  </si>
  <si>
    <t>Kadura, Bill</t>
  </si>
  <si>
    <t>Ballar, Jacob</t>
  </si>
  <si>
    <t>Goertz, Jason</t>
  </si>
  <si>
    <t>Goertz, William</t>
  </si>
  <si>
    <t>Barton, Dewey</t>
  </si>
  <si>
    <t>Goertz, John Allen</t>
  </si>
  <si>
    <t>Osborne, Bart</t>
  </si>
  <si>
    <t>Shuelke, Troy</t>
  </si>
  <si>
    <t>Tucker, Josh</t>
  </si>
  <si>
    <t>Bartsch, Bailey</t>
  </si>
  <si>
    <t>Bartsch, Brent</t>
  </si>
  <si>
    <t>Seidel, Darryl</t>
  </si>
  <si>
    <t>Bartsch, Brad</t>
  </si>
  <si>
    <t>Bartsch, John</t>
  </si>
  <si>
    <t>Bartsch, Vincent</t>
  </si>
  <si>
    <t>Darilek, Steve</t>
  </si>
  <si>
    <t>Kaspar, Jonathan</t>
  </si>
  <si>
    <t>Bartsch, Hudson</t>
  </si>
  <si>
    <t>Daily, Mickey</t>
  </si>
  <si>
    <t>Klaus, Gary</t>
  </si>
  <si>
    <t>Bartsch, Jon</t>
  </si>
  <si>
    <t>Nutt, Bradley</t>
  </si>
  <si>
    <t>Vasquez, Matt</t>
  </si>
  <si>
    <t>Fiebrich, Steve</t>
  </si>
  <si>
    <t>Meuth, Jeff</t>
  </si>
  <si>
    <t>Goertz, Vincent</t>
  </si>
  <si>
    <t>Whiteaker, Bo</t>
  </si>
  <si>
    <t>Fohn, Chris</t>
  </si>
  <si>
    <t>Tucker, Jackie</t>
  </si>
  <si>
    <t>Bartsch, Madison</t>
  </si>
  <si>
    <t>Bauer, Al</t>
  </si>
  <si>
    <t>Shimek, Jerry</t>
  </si>
  <si>
    <t>Thielemann, Doug</t>
  </si>
  <si>
    <t>Shimek, Jerry Dean</t>
  </si>
  <si>
    <t>Beck, Beefy</t>
  </si>
  <si>
    <t>Meuth, Mark</t>
  </si>
  <si>
    <t>Meuth, Teri</t>
  </si>
  <si>
    <t>Beck, Lloyd</t>
  </si>
  <si>
    <t>Meuth, Steve</t>
  </si>
  <si>
    <t>Fiebrich, Richie</t>
  </si>
  <si>
    <t>Muehr, Greg</t>
  </si>
  <si>
    <t>Klaus, Kevin</t>
  </si>
  <si>
    <t>Tucker, Scott</t>
  </si>
  <si>
    <t>Fohn, Justin</t>
  </si>
  <si>
    <t>Rascke, Don</t>
  </si>
  <si>
    <t>Rascke, Scott</t>
  </si>
  <si>
    <t>Frerich, Jason</t>
  </si>
  <si>
    <t>Osborne, Clint</t>
  </si>
  <si>
    <t>Kadura, John</t>
  </si>
  <si>
    <t>Frasier, Greg</t>
  </si>
  <si>
    <t>Goertz, Chad</t>
  </si>
  <si>
    <t>Goertz, Cole</t>
  </si>
  <si>
    <t>Lang, Joe</t>
  </si>
  <si>
    <t>Frerich, Nathan</t>
  </si>
  <si>
    <t>Goertz, Amy</t>
  </si>
  <si>
    <t>Goertz, Kevin</t>
  </si>
  <si>
    <t>Friske, Gregory</t>
  </si>
  <si>
    <t>Goertz, Adam</t>
  </si>
  <si>
    <t>Klaus, Stephen</t>
  </si>
  <si>
    <t>Wolf, Kevin</t>
  </si>
  <si>
    <t>Goertz, Bobby</t>
  </si>
  <si>
    <t>Goertz, Lori</t>
  </si>
  <si>
    <t>Goertz, Christopher</t>
  </si>
  <si>
    <t>Goertz, Darren</t>
  </si>
  <si>
    <t>Goertz, Elmer</t>
  </si>
  <si>
    <t>Muehr, Damian</t>
  </si>
  <si>
    <t>Goertz, Cliff</t>
  </si>
  <si>
    <t>Goertz, Mike</t>
  </si>
  <si>
    <t>Osborne, Derek</t>
  </si>
  <si>
    <t>Goertz, Justin</t>
  </si>
  <si>
    <t>Goertz, Nicholas</t>
  </si>
  <si>
    <t>Meuth, Adam</t>
  </si>
  <si>
    <t>Meuth, Wayne</t>
  </si>
  <si>
    <t>Menely, Amy</t>
  </si>
  <si>
    <t>Goertz, Michael</t>
  </si>
  <si>
    <t>Saunders, Lindsey</t>
  </si>
  <si>
    <t>Prasek, Leon</t>
  </si>
  <si>
    <t>Heilman, Cory</t>
  </si>
  <si>
    <t>Hoffman, Bret</t>
  </si>
  <si>
    <t>Paul, Chris</t>
  </si>
  <si>
    <t>Shock, Peter</t>
  </si>
  <si>
    <t>Hoffman, Tyler</t>
  </si>
  <si>
    <t>Hoffman, Joe</t>
  </si>
  <si>
    <t>Warren, Janet</t>
  </si>
  <si>
    <t>Hoffman, Kevin</t>
  </si>
  <si>
    <t>Warren, Mark</t>
  </si>
  <si>
    <t>Hoffman, Nicole</t>
  </si>
  <si>
    <t>Holub, Tim</t>
  </si>
  <si>
    <t>Klaus, Jason</t>
  </si>
  <si>
    <t>Kadura, Glenn</t>
  </si>
  <si>
    <t>Kadura, Luke</t>
  </si>
  <si>
    <t>Klaus, Brian</t>
  </si>
  <si>
    <t>Klaus, Kris</t>
  </si>
  <si>
    <t>Klaus, Chelsea</t>
  </si>
  <si>
    <t>Tucker, Stephen</t>
  </si>
  <si>
    <t>Martin, Clint</t>
  </si>
  <si>
    <t>Tucker, Gary</t>
  </si>
  <si>
    <t>Tucker, Kevin</t>
  </si>
  <si>
    <t>Tucker, Jeremey</t>
  </si>
  <si>
    <t>Moncure, Seth</t>
  </si>
  <si>
    <t>Muehr, Jordan</t>
  </si>
  <si>
    <t>Smith, Wyatt</t>
  </si>
  <si>
    <t>Muehr, Joey</t>
  </si>
  <si>
    <t>Vinclarek, Brittany</t>
  </si>
  <si>
    <t>Vinclarek, Andrew</t>
  </si>
  <si>
    <t>Smith, Lucy</t>
  </si>
  <si>
    <t>Murphy, Braden</t>
  </si>
  <si>
    <t>Murphy, Bryson</t>
  </si>
  <si>
    <t>Murphy, Patrick</t>
  </si>
  <si>
    <t>Murphy, Donna</t>
  </si>
  <si>
    <t>Tucker, Colton</t>
  </si>
  <si>
    <t>Tucker, Ronnie</t>
  </si>
  <si>
    <t>Tucker, Samuel</t>
  </si>
  <si>
    <t>B</t>
  </si>
  <si>
    <t>A</t>
  </si>
  <si>
    <t>C</t>
  </si>
  <si>
    <t>D</t>
  </si>
  <si>
    <t>D-</t>
  </si>
  <si>
    <t>Player
Rating</t>
  </si>
  <si>
    <t>Score
Range</t>
  </si>
  <si>
    <t>Median
Score</t>
  </si>
  <si>
    <t>Weight</t>
  </si>
  <si>
    <t>Median
Handicap</t>
  </si>
  <si>
    <t>A+</t>
  </si>
  <si>
    <t>&lt; 79</t>
  </si>
  <si>
    <t>80 - 89</t>
  </si>
  <si>
    <t>90 - 99</t>
  </si>
  <si>
    <t>100 - 109</t>
  </si>
  <si>
    <t>110 - 119</t>
  </si>
  <si>
    <t>&gt; 120</t>
  </si>
  <si>
    <t>Team
Hndcp</t>
  </si>
  <si>
    <t>Avg 75</t>
  </si>
  <si>
    <t>Hndcp
Contrib</t>
  </si>
  <si>
    <t>Percent
Contrib</t>
  </si>
  <si>
    <t>Weight
55-Hdcp</t>
  </si>
  <si>
    <t>Player
Hndcp</t>
  </si>
  <si>
    <t>Player</t>
  </si>
  <si>
    <t>Avg 125</t>
  </si>
  <si>
    <t>Robyn H.</t>
  </si>
  <si>
    <t>Joe H.</t>
  </si>
  <si>
    <t>Kenny H.</t>
  </si>
  <si>
    <t>Shawn A.</t>
  </si>
  <si>
    <t>Rodney K.</t>
  </si>
  <si>
    <t>John A.</t>
  </si>
  <si>
    <t>Weight
65-Hdcp</t>
  </si>
  <si>
    <t>Weight
60-Hdcp</t>
  </si>
  <si>
    <t>Calculate Handicap</t>
  </si>
  <si>
    <t>Courses</t>
  </si>
  <si>
    <t>Course Rating</t>
  </si>
  <si>
    <t>Slope Rating</t>
  </si>
  <si>
    <t>Colovista</t>
  </si>
  <si>
    <t>Slope</t>
  </si>
  <si>
    <t>Calculate Score</t>
  </si>
  <si>
    <t>Kenny</t>
  </si>
  <si>
    <t>Hoffman</t>
  </si>
  <si>
    <t>Joe</t>
  </si>
  <si>
    <t>Robyn</t>
  </si>
  <si>
    <t>Doug</t>
  </si>
  <si>
    <t>Thielemann</t>
  </si>
  <si>
    <t>Jerry</t>
  </si>
  <si>
    <t>Al</t>
  </si>
  <si>
    <t>Bauer</t>
  </si>
  <si>
    <t>John</t>
  </si>
  <si>
    <t>Altum</t>
  </si>
  <si>
    <t>Shawn</t>
  </si>
  <si>
    <t>Rodney</t>
  </si>
  <si>
    <t>Kadura</t>
  </si>
  <si>
    <t>Mark</t>
  </si>
  <si>
    <t>Meuth</t>
  </si>
  <si>
    <t>Steve</t>
  </si>
  <si>
    <t>Chris</t>
  </si>
  <si>
    <t>Jason</t>
  </si>
  <si>
    <t>Goertz</t>
  </si>
  <si>
    <t>William</t>
  </si>
  <si>
    <t>Jacob</t>
  </si>
  <si>
    <t>Michael</t>
  </si>
  <si>
    <t>Nicholas</t>
  </si>
  <si>
    <t>Justin</t>
  </si>
  <si>
    <t>Elmer</t>
  </si>
  <si>
    <t>Darren</t>
  </si>
  <si>
    <t>Scott</t>
  </si>
  <si>
    <t>Rascke</t>
  </si>
  <si>
    <t>Fohn</t>
  </si>
  <si>
    <t>Clint</t>
  </si>
  <si>
    <t>Richie</t>
  </si>
  <si>
    <t>Fiebrich</t>
  </si>
  <si>
    <t>Kevin</t>
  </si>
  <si>
    <t>Klaus</t>
  </si>
  <si>
    <t>Kris</t>
  </si>
  <si>
    <t>Wolf</t>
  </si>
  <si>
    <t>Stephen</t>
  </si>
  <si>
    <t>Adam</t>
  </si>
  <si>
    <t>Jon</t>
  </si>
  <si>
    <t>Bartsch</t>
  </si>
  <si>
    <t>Wayne</t>
  </si>
  <si>
    <t>Gary</t>
  </si>
  <si>
    <t>Tucker</t>
  </si>
  <si>
    <t>Jeremy</t>
  </si>
  <si>
    <t>First
Name</t>
  </si>
  <si>
    <t>Last
Name</t>
  </si>
  <si>
    <t>Wins</t>
  </si>
  <si>
    <t>History</t>
  </si>
  <si>
    <t>Email</t>
  </si>
  <si>
    <t>Phone 
Number</t>
  </si>
  <si>
    <t>Use?</t>
  </si>
  <si>
    <t>Base
Hndcp</t>
  </si>
  <si>
    <t>Adjust
Hndcp</t>
  </si>
  <si>
    <t>(1) Cited
Score
Low</t>
  </si>
  <si>
    <t>(1) Cited
Score
High</t>
  </si>
  <si>
    <t>(1) Calc
Average
Score</t>
  </si>
  <si>
    <t>(1) Calc
Hndcp</t>
  </si>
  <si>
    <t>(2) Cited
Hndcp</t>
  </si>
  <si>
    <t>(3) Hist
Average
Score</t>
  </si>
  <si>
    <t>(3) Hist
Hndcp</t>
  </si>
  <si>
    <t>Christopher</t>
  </si>
  <si>
    <t>Shimek</t>
  </si>
  <si>
    <t>Jerry Dean</t>
  </si>
  <si>
    <t>Peter</t>
  </si>
  <si>
    <t>Shock</t>
  </si>
  <si>
    <t>Patrick</t>
  </si>
  <si>
    <t>Murphy</t>
  </si>
  <si>
    <t>Braden</t>
  </si>
  <si>
    <t>Bryson</t>
  </si>
  <si>
    <t>Susan</t>
  </si>
  <si>
    <t>French</t>
  </si>
  <si>
    <t>Greg</t>
  </si>
  <si>
    <t>Gregg</t>
  </si>
  <si>
    <t>Muehr</t>
  </si>
  <si>
    <t>Damian</t>
  </si>
  <si>
    <t>Andrew</t>
  </si>
  <si>
    <t>Vinclarek</t>
  </si>
  <si>
    <t>Jordan</t>
  </si>
  <si>
    <t>Wyatt</t>
  </si>
  <si>
    <t>Smith</t>
  </si>
  <si>
    <t>Dewey</t>
  </si>
  <si>
    <t>Barton</t>
  </si>
  <si>
    <t>Bart</t>
  </si>
  <si>
    <t>Mitchell</t>
  </si>
  <si>
    <t>Trevor</t>
  </si>
  <si>
    <t>Team</t>
  </si>
  <si>
    <t>John Altum</t>
  </si>
  <si>
    <t>Rodney Kadura</t>
  </si>
  <si>
    <t>Player 1
Name</t>
  </si>
  <si>
    <t>Player 2
Name</t>
  </si>
  <si>
    <t>Player 3
Name</t>
  </si>
  <si>
    <t>Player 1
Hndcp</t>
  </si>
  <si>
    <t>Player 2
Hndcp</t>
  </si>
  <si>
    <t>Player 3
Hndcp</t>
  </si>
  <si>
    <t>Player 3
Percent</t>
  </si>
  <si>
    <t>Player 1
Percent</t>
  </si>
  <si>
    <t>Player 2
Percent</t>
  </si>
  <si>
    <t>Mark Meuth</t>
  </si>
  <si>
    <t>Ballar</t>
  </si>
  <si>
    <t>Richie Fiebrich</t>
  </si>
  <si>
    <t>Steve Fiebrich</t>
  </si>
  <si>
    <t>Kevin Klaus</t>
  </si>
  <si>
    <t>Scott Rascke</t>
  </si>
  <si>
    <t>John Kadura</t>
  </si>
  <si>
    <t>Kris Klaus</t>
  </si>
  <si>
    <t>Brian Klaus</t>
  </si>
  <si>
    <t>Brian</t>
  </si>
  <si>
    <t>Ty</t>
  </si>
  <si>
    <t>Dewey Barton</t>
  </si>
  <si>
    <t>Frazier</t>
  </si>
  <si>
    <t>Hole</t>
  </si>
  <si>
    <t>Cost Per Player</t>
  </si>
  <si>
    <t>Course Cost Per Player</t>
  </si>
  <si>
    <t>Net Take In</t>
  </si>
  <si>
    <t>3-Man Teams</t>
  </si>
  <si>
    <t>Players</t>
  </si>
  <si>
    <t>2-Man Teams</t>
  </si>
  <si>
    <t>Total Players</t>
  </si>
  <si>
    <t>Gross Take In</t>
  </si>
  <si>
    <t>Catering</t>
  </si>
  <si>
    <t>Food</t>
  </si>
  <si>
    <t>Service</t>
  </si>
  <si>
    <t>Total Food</t>
  </si>
  <si>
    <t>Awards</t>
  </si>
  <si>
    <t>Number of Awards</t>
  </si>
  <si>
    <t>Cash Value Per Award</t>
  </si>
  <si>
    <t>Total Cash Payout</t>
  </si>
  <si>
    <t>Mailers, Labels, etc.</t>
  </si>
  <si>
    <t>Total Income</t>
  </si>
  <si>
    <t>Total Expenses</t>
  </si>
  <si>
    <t>Excess</t>
  </si>
  <si>
    <t>Adjust</t>
  </si>
  <si>
    <t>Colton</t>
  </si>
  <si>
    <t>Samuel</t>
  </si>
  <si>
    <t>Ronnie</t>
  </si>
  <si>
    <t>Mike</t>
  </si>
  <si>
    <t>Amy</t>
  </si>
  <si>
    <t>Menely</t>
  </si>
  <si>
    <t>John Allen</t>
  </si>
  <si>
    <t>Joseph</t>
  </si>
  <si>
    <t>Lang</t>
  </si>
  <si>
    <t>Vasquez</t>
  </si>
  <si>
    <t>Bradley</t>
  </si>
  <si>
    <t>Nutt</t>
  </si>
  <si>
    <t>Chad</t>
  </si>
  <si>
    <t>Bill</t>
  </si>
  <si>
    <t>Janet</t>
  </si>
  <si>
    <t>Warren</t>
  </si>
  <si>
    <t>Bobby</t>
  </si>
  <si>
    <t>Cliff</t>
  </si>
  <si>
    <t>Darilek</t>
  </si>
  <si>
    <t>Jeff</t>
  </si>
  <si>
    <t>Cody</t>
  </si>
  <si>
    <t>Teri</t>
  </si>
  <si>
    <t>Beefy</t>
  </si>
  <si>
    <t>Beck</t>
  </si>
  <si>
    <t>Joseph Lang</t>
  </si>
  <si>
    <t>Bradley Nutt</t>
  </si>
  <si>
    <t>Teri Meuth</t>
  </si>
  <si>
    <t>Beefy Beck</t>
  </si>
  <si>
    <t>Matt</t>
  </si>
  <si>
    <t>Snyder</t>
  </si>
  <si>
    <t>Bryson Murphy</t>
  </si>
  <si>
    <t>Michael Goertz</t>
  </si>
  <si>
    <t>Justin Goertz</t>
  </si>
  <si>
    <t>Stephen Klaus</t>
  </si>
  <si>
    <t>Kevin Wolf</t>
  </si>
  <si>
    <t>Jerry Dean Shimek</t>
  </si>
  <si>
    <t>Jerry Shimek</t>
  </si>
  <si>
    <t>Chris Paul</t>
  </si>
  <si>
    <t>Doug Thielemann</t>
  </si>
  <si>
    <t>Kenny Bauer</t>
  </si>
  <si>
    <t>Julian Kresge</t>
  </si>
  <si>
    <t>Paul</t>
  </si>
  <si>
    <t>Julian</t>
  </si>
  <si>
    <t>Kresge</t>
  </si>
  <si>
    <t>Luke</t>
  </si>
  <si>
    <t>Weston</t>
  </si>
  <si>
    <t>02A</t>
  </si>
  <si>
    <t>01A</t>
  </si>
  <si>
    <t>02B</t>
  </si>
  <si>
    <t>09A</t>
  </si>
  <si>
    <t>09B</t>
  </si>
  <si>
    <t>Saunders</t>
  </si>
  <si>
    <t>Lindsey</t>
  </si>
  <si>
    <t>player1</t>
  </si>
  <si>
    <t>player2</t>
  </si>
  <si>
    <t>player3</t>
  </si>
  <si>
    <t>handicap</t>
  </si>
  <si>
    <t>start_hole</t>
  </si>
  <si>
    <t>name</t>
  </si>
  <si>
    <t>active</t>
  </si>
  <si>
    <t>Colson</t>
  </si>
  <si>
    <t>Kovar</t>
  </si>
  <si>
    <t>Keaton</t>
  </si>
  <si>
    <t>Lloyd</t>
  </si>
  <si>
    <t>Frerich</t>
  </si>
  <si>
    <t>Friske</t>
  </si>
  <si>
    <t>Kleiber</t>
  </si>
  <si>
    <t>Carter</t>
  </si>
  <si>
    <t>Waneck</t>
  </si>
  <si>
    <t>Madison</t>
  </si>
  <si>
    <t>Brent</t>
  </si>
  <si>
    <t>Kaycee</t>
  </si>
  <si>
    <t>Osborn</t>
  </si>
  <si>
    <t>Denny</t>
  </si>
  <si>
    <t>Winkler</t>
  </si>
  <si>
    <t>Jeff Meuth</t>
  </si>
  <si>
    <t>Lloyd Beck</t>
  </si>
  <si>
    <t>Cody Beck</t>
  </si>
  <si>
    <t>Jason Frerich</t>
  </si>
  <si>
    <t>Greg Friske</t>
  </si>
  <si>
    <t>Nicholas Friske</t>
  </si>
  <si>
    <t>Greg French</t>
  </si>
  <si>
    <t>Luke Kadura</t>
  </si>
  <si>
    <t>Wayne Meuth</t>
  </si>
  <si>
    <t>Joe Kleiber</t>
  </si>
  <si>
    <t>William Goertz</t>
  </si>
  <si>
    <t>Jason Goertz</t>
  </si>
  <si>
    <t>Carter Nutt</t>
  </si>
  <si>
    <t>Brian Waneck</t>
  </si>
  <si>
    <t>Gary Klaus</t>
  </si>
  <si>
    <t>Madison Bartsch</t>
  </si>
  <si>
    <t>Brent Hoffman</t>
  </si>
  <si>
    <t>Weston Bauer</t>
  </si>
  <si>
    <t>Al Bauer</t>
  </si>
  <si>
    <t>Nicholas Goertz</t>
  </si>
  <si>
    <t>Clint Osborn</t>
  </si>
  <si>
    <t>Michael Osborn</t>
  </si>
  <si>
    <t>Denny Winkler</t>
  </si>
  <si>
    <t>Nicole</t>
  </si>
  <si>
    <t>Bridges</t>
  </si>
  <si>
    <t>Dustin</t>
  </si>
  <si>
    <t>Klaus-Kisamore</t>
  </si>
  <si>
    <t>Hendrix</t>
  </si>
  <si>
    <t>Carolyn</t>
  </si>
  <si>
    <t>Phil</t>
  </si>
  <si>
    <t>Heath</t>
  </si>
  <si>
    <t>Hilbig</t>
  </si>
  <si>
    <t>Austin</t>
  </si>
  <si>
    <t>Hughes</t>
  </si>
  <si>
    <t>Cole</t>
  </si>
  <si>
    <t>Stabeno</t>
  </si>
  <si>
    <t>Colton Stabeno</t>
  </si>
  <si>
    <t>Derek Osborn</t>
  </si>
  <si>
    <t>Chad Goertz</t>
  </si>
  <si>
    <t>Cole Goertz</t>
  </si>
  <si>
    <t>Heath Hilbig</t>
  </si>
  <si>
    <t>Kevin Hoffman</t>
  </si>
  <si>
    <t>Austin Hughes</t>
  </si>
  <si>
    <t>Cliff Hendrix</t>
  </si>
  <si>
    <t>Phil Hendrix</t>
  </si>
  <si>
    <t>Carolyn Hendrix</t>
  </si>
  <si>
    <t>Jacob Ballar</t>
  </si>
  <si>
    <t>Derek</t>
  </si>
  <si>
    <t>Nicole Bridges</t>
  </si>
  <si>
    <t>Dustin Bridges</t>
  </si>
  <si>
    <t>Ty Klaus-Kisamore</t>
  </si>
  <si>
    <t>18A</t>
  </si>
  <si>
    <t>18B</t>
  </si>
  <si>
    <t>17A</t>
  </si>
  <si>
    <t>17B</t>
  </si>
  <si>
    <t>16A</t>
  </si>
  <si>
    <t>16B</t>
  </si>
  <si>
    <t>15A</t>
  </si>
  <si>
    <t>15B</t>
  </si>
  <si>
    <t>14A</t>
  </si>
  <si>
    <t>14B</t>
  </si>
  <si>
    <t>13A</t>
  </si>
  <si>
    <t>13B</t>
  </si>
  <si>
    <t>12A</t>
  </si>
  <si>
    <t>12B</t>
  </si>
  <si>
    <t>11A</t>
  </si>
  <si>
    <t>11B</t>
  </si>
  <si>
    <t>Koozies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</si>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</sst>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"/>
    <numFmt numFmtId="165" formatCode="0.000"/>
    <numFmt numFmtId="166" formatCode="0.0%"/>
    <numFmt numFmtId="167" formatCode="&quot;$&quot;#,##0.00"/>
  </numFmts>
  <fonts count="19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0070C0"/>
      <name val="Arial"/>
      <family val="2"/>
    </font>
    <font>
      <b/>
      <sz val="11"/>
      <name val="Arial"/>
      <family val="2"/>
    </font>
    <font>
      <b/>
      <sz val="11"/>
      <color theme="0" tint="-0.499984740745262"/>
      <name val="Arial"/>
      <family val="2"/>
    </font>
    <font>
      <sz val="11"/>
      <name val="Arial"/>
      <family val="2"/>
    </font>
    <font>
      <b/>
      <sz val="11"/>
      <color theme="0"/>
      <name val="Arial"/>
      <family val="2"/>
    </font>
    <font>
      <b/>
      <sz val="11"/>
      <color theme="5" tint="-0.499984740745262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b/>
      <i/>
      <sz val="10"/>
      <color indexed="62"/>
      <name val="Arial"/>
      <family val="2"/>
    </font>
    <font>
      <sz val="10"/>
      <color indexed="55"/>
      <name val="Arial"/>
      <family val="2"/>
    </font>
    <font>
      <sz val="10"/>
      <color indexed="62"/>
      <name val="Arial"/>
      <family val="2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13" fillId="0" borderId="0"/>
    <xf numFmtId="44" fontId="4" fillId="0" borderId="0" applyFont="0" applyFill="0" applyBorder="0" applyAlignment="0" applyProtection="0"/>
  </cellStyleXfs>
  <cellXfs count="116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164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2" fontId="2" fillId="0" borderId="1" xfId="0" applyNumberFormat="1" applyFont="1" applyBorder="1"/>
    <xf numFmtId="0" fontId="2" fillId="3" borderId="1" xfId="0" applyFont="1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65" fontId="0" fillId="3" borderId="1" xfId="0" applyNumberFormat="1" applyFill="1" applyBorder="1"/>
    <xf numFmtId="2" fontId="0" fillId="3" borderId="1" xfId="0" applyNumberFormat="1" applyFill="1" applyBorder="1"/>
    <xf numFmtId="2" fontId="2" fillId="3" borderId="1" xfId="0" applyNumberFormat="1" applyFont="1" applyFill="1" applyBorder="1"/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2" xfId="0" applyBorder="1" applyAlignment="1">
      <alignment horizontal="center" vertical="top"/>
    </xf>
    <xf numFmtId="2" fontId="0" fillId="0" borderId="2" xfId="0" applyNumberFormat="1" applyBorder="1" applyAlignment="1">
      <alignment horizontal="center" vertical="top"/>
    </xf>
    <xf numFmtId="2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2" fontId="0" fillId="0" borderId="0" xfId="0" applyNumberFormat="1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6" fontId="0" fillId="0" borderId="2" xfId="1" applyNumberFormat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vertical="center"/>
    </xf>
    <xf numFmtId="0" fontId="5" fillId="0" borderId="0" xfId="2" applyFont="1"/>
    <xf numFmtId="0" fontId="6" fillId="0" borderId="0" xfId="2" applyFont="1"/>
    <xf numFmtId="0" fontId="7" fillId="0" borderId="0" xfId="2" applyFont="1"/>
    <xf numFmtId="0" fontId="8" fillId="5" borderId="2" xfId="2" applyFont="1" applyFill="1" applyBorder="1"/>
    <xf numFmtId="0" fontId="9" fillId="6" borderId="2" xfId="2" applyFont="1" applyFill="1" applyBorder="1" applyAlignment="1">
      <alignment horizontal="center"/>
    </xf>
    <xf numFmtId="0" fontId="8" fillId="4" borderId="2" xfId="2" applyFont="1" applyFill="1" applyBorder="1"/>
    <xf numFmtId="0" fontId="8" fillId="5" borderId="2" xfId="2" applyFont="1" applyFill="1" applyBorder="1" applyAlignment="1">
      <alignment horizontal="center"/>
    </xf>
    <xf numFmtId="0" fontId="10" fillId="0" borderId="0" xfId="2" applyFont="1"/>
    <xf numFmtId="164" fontId="6" fillId="0" borderId="2" xfId="2" quotePrefix="1" applyNumberFormat="1" applyFon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1" fillId="2" borderId="2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/>
    </xf>
    <xf numFmtId="0" fontId="1" fillId="2" borderId="2" xfId="0" applyFont="1" applyFill="1" applyBorder="1"/>
    <xf numFmtId="0" fontId="11" fillId="7" borderId="1" xfId="0" applyFont="1" applyFill="1" applyBorder="1" applyAlignment="1">
      <alignment vertical="top" wrapText="1"/>
    </xf>
    <xf numFmtId="0" fontId="11" fillId="7" borderId="1" xfId="0" applyFont="1" applyFill="1" applyBorder="1" applyAlignment="1">
      <alignment horizontal="center" vertical="top" wrapText="1"/>
    </xf>
    <xf numFmtId="0" fontId="11" fillId="7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vertical="top"/>
    </xf>
    <xf numFmtId="164" fontId="12" fillId="8" borderId="1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" fontId="0" fillId="0" borderId="0" xfId="0" applyNumberFormat="1" applyAlignment="1">
      <alignment horizontal="center"/>
    </xf>
    <xf numFmtId="0" fontId="14" fillId="0" borderId="0" xfId="3" applyFont="1"/>
    <xf numFmtId="44" fontId="4" fillId="9" borderId="2" xfId="4" applyFill="1" applyBorder="1"/>
    <xf numFmtId="167" fontId="13" fillId="0" borderId="0" xfId="3" applyNumberFormat="1"/>
    <xf numFmtId="0" fontId="15" fillId="0" borderId="0" xfId="3" applyFont="1" applyAlignment="1">
      <alignment horizontal="left"/>
    </xf>
    <xf numFmtId="0" fontId="4" fillId="9" borderId="2" xfId="3" applyFont="1" applyFill="1" applyBorder="1"/>
    <xf numFmtId="0" fontId="16" fillId="0" borderId="0" xfId="3" applyFont="1" applyAlignment="1">
      <alignment horizontal="left" indent="1"/>
    </xf>
    <xf numFmtId="0" fontId="4" fillId="0" borderId="0" xfId="3" applyFont="1"/>
    <xf numFmtId="0" fontId="15" fillId="0" borderId="0" xfId="3" applyFont="1"/>
    <xf numFmtId="44" fontId="4" fillId="0" borderId="0" xfId="4"/>
    <xf numFmtId="0" fontId="13" fillId="0" borderId="0" xfId="3"/>
    <xf numFmtId="0" fontId="17" fillId="0" borderId="0" xfId="3" applyFont="1"/>
    <xf numFmtId="44" fontId="4" fillId="0" borderId="0" xfId="3" applyNumberFormat="1" applyFont="1"/>
    <xf numFmtId="0" fontId="4" fillId="9" borderId="2" xfId="4" applyNumberFormat="1" applyFill="1" applyBorder="1"/>
    <xf numFmtId="0" fontId="14" fillId="0" borderId="3" xfId="3" applyFont="1" applyBorder="1"/>
    <xf numFmtId="44" fontId="4" fillId="0" borderId="3" xfId="4" applyBorder="1"/>
    <xf numFmtId="0" fontId="0" fillId="3" borderId="0" xfId="0" applyFill="1"/>
    <xf numFmtId="1" fontId="0" fillId="0" borderId="0" xfId="1" applyNumberFormat="1" applyFont="1" applyAlignment="1">
      <alignment horizontal="center"/>
    </xf>
    <xf numFmtId="0" fontId="2" fillId="0" borderId="1" xfId="0" applyFont="1" applyBorder="1" applyAlignment="1">
      <alignment vertical="top"/>
    </xf>
    <xf numFmtId="0" fontId="12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64" fontId="0" fillId="8" borderId="1" xfId="0" applyNumberFormat="1" applyFill="1" applyBorder="1" applyAlignment="1">
      <alignment horizontal="center" vertical="top"/>
    </xf>
    <xf numFmtId="0" fontId="18" fillId="0" borderId="1" xfId="0" applyFont="1" applyBorder="1" applyAlignment="1">
      <alignment vertical="top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164" fontId="0" fillId="8" borderId="1" xfId="0" applyNumberFormat="1" applyFill="1" applyBorder="1"/>
    <xf numFmtId="165" fontId="0" fillId="8" borderId="1" xfId="0" applyNumberFormat="1" applyFill="1" applyBorder="1"/>
    <xf numFmtId="2" fontId="0" fillId="8" borderId="1" xfId="0" applyNumberFormat="1" applyFill="1" applyBorder="1"/>
    <xf numFmtId="0" fontId="2" fillId="8" borderId="1" xfId="0" applyFont="1" applyFill="1" applyBorder="1"/>
    <xf numFmtId="2" fontId="2" fillId="8" borderId="1" xfId="0" applyNumberFormat="1" applyFont="1" applyFill="1" applyBorder="1"/>
    <xf numFmtId="0" fontId="11" fillId="7" borderId="5" xfId="0" applyFont="1" applyFill="1" applyBorder="1" applyAlignment="1">
      <alignment vertical="top" wrapText="1"/>
    </xf>
    <xf numFmtId="0" fontId="2" fillId="0" borderId="5" xfId="0" applyFont="1" applyBorder="1" applyAlignment="1">
      <alignment vertical="top"/>
    </xf>
    <xf numFmtId="0" fontId="18" fillId="0" borderId="5" xfId="0" applyFont="1" applyBorder="1" applyAlignment="1">
      <alignment vertical="top"/>
    </xf>
    <xf numFmtId="0" fontId="0" fillId="0" borderId="5" xfId="0" applyBorder="1" applyAlignment="1">
      <alignment vertical="top"/>
    </xf>
    <xf numFmtId="0" fontId="11" fillId="7" borderId="4" xfId="0" applyFont="1" applyFill="1" applyBorder="1" applyAlignment="1">
      <alignment horizontal="center" vertical="top" wrapText="1"/>
    </xf>
    <xf numFmtId="0" fontId="12" fillId="0" borderId="4" xfId="0" applyFont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11" fillId="7" borderId="5" xfId="0" applyFont="1" applyFill="1" applyBorder="1" applyAlignment="1">
      <alignment horizontal="center" vertical="top" wrapText="1"/>
    </xf>
    <xf numFmtId="164" fontId="12" fillId="8" borderId="5" xfId="0" applyNumberFormat="1" applyFont="1" applyFill="1" applyBorder="1" applyAlignment="1">
      <alignment horizontal="center" vertical="top"/>
    </xf>
    <xf numFmtId="0" fontId="0" fillId="8" borderId="5" xfId="0" applyFill="1" applyBorder="1" applyAlignment="1">
      <alignment horizontal="center" vertical="top"/>
    </xf>
    <xf numFmtId="0" fontId="11" fillId="7" borderId="6" xfId="0" applyFont="1" applyFill="1" applyBorder="1" applyAlignment="1">
      <alignment horizontal="center" vertical="top" wrapText="1"/>
    </xf>
    <xf numFmtId="164" fontId="12" fillId="0" borderId="6" xfId="0" applyNumberFormat="1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164" fontId="12" fillId="10" borderId="4" xfId="0" applyNumberFormat="1" applyFont="1" applyFill="1" applyBorder="1" applyAlignment="1">
      <alignment horizontal="center" vertical="top"/>
    </xf>
    <xf numFmtId="0" fontId="0" fillId="10" borderId="4" xfId="0" applyFill="1" applyBorder="1" applyAlignment="1">
      <alignment horizontal="center" vertical="top"/>
    </xf>
    <xf numFmtId="1" fontId="0" fillId="0" borderId="0" xfId="0" applyNumberFormat="1"/>
    <xf numFmtId="0" fontId="11" fillId="7" borderId="8" xfId="0" applyFont="1" applyFill="1" applyBorder="1" applyAlignment="1">
      <alignment horizontal="center" vertical="top" wrapText="1"/>
    </xf>
    <xf numFmtId="1" fontId="11" fillId="7" borderId="8" xfId="0" applyNumberFormat="1" applyFont="1" applyFill="1" applyBorder="1" applyAlignment="1">
      <alignment horizontal="center" vertical="top" wrapText="1"/>
    </xf>
    <xf numFmtId="0" fontId="11" fillId="7" borderId="8" xfId="0" applyFont="1" applyFill="1" applyBorder="1" applyAlignment="1">
      <alignment vertical="top" wrapText="1"/>
    </xf>
    <xf numFmtId="9" fontId="11" fillId="7" borderId="8" xfId="1" applyFont="1" applyFill="1" applyBorder="1" applyAlignment="1">
      <alignment horizontal="center" vertical="top" wrapText="1"/>
    </xf>
    <xf numFmtId="1" fontId="11" fillId="7" borderId="8" xfId="1" applyNumberFormat="1" applyFont="1" applyFill="1" applyBorder="1" applyAlignment="1">
      <alignment horizontal="center" vertical="top" wrapText="1"/>
    </xf>
    <xf numFmtId="0" fontId="0" fillId="11" borderId="7" xfId="0" applyFill="1" applyBorder="1"/>
    <xf numFmtId="1" fontId="0" fillId="11" borderId="7" xfId="0" applyNumberFormat="1" applyFill="1" applyBorder="1"/>
    <xf numFmtId="0" fontId="0" fillId="0" borderId="7" xfId="0" applyBorder="1" applyAlignment="1">
      <alignment horizontal="center"/>
    </xf>
    <xf numFmtId="0" fontId="0" fillId="0" borderId="7" xfId="0" applyBorder="1"/>
    <xf numFmtId="1" fontId="0" fillId="0" borderId="7" xfId="0" applyNumberFormat="1" applyBorder="1" applyAlignment="1">
      <alignment horizontal="center"/>
    </xf>
    <xf numFmtId="9" fontId="0" fillId="11" borderId="7" xfId="1" applyFont="1" applyFill="1" applyBorder="1" applyAlignment="1">
      <alignment horizontal="center"/>
    </xf>
    <xf numFmtId="1" fontId="0" fillId="0" borderId="7" xfId="1" applyNumberFormat="1" applyFont="1" applyBorder="1" applyAlignment="1">
      <alignment horizontal="center"/>
    </xf>
    <xf numFmtId="1" fontId="0" fillId="11" borderId="7" xfId="0" applyNumberFormat="1" applyFill="1" applyBorder="1" applyAlignment="1">
      <alignment horizontal="center"/>
    </xf>
    <xf numFmtId="0" fontId="11" fillId="7" borderId="2" xfId="0" applyFont="1" applyFill="1" applyBorder="1" applyAlignment="1">
      <alignment vertical="top" wrapText="1"/>
    </xf>
  </cellXfs>
  <cellStyles count="5">
    <cellStyle name="Currency 2" xfId="4" xr:uid="{307778DB-4A80-453C-A088-AE03E9F5E317}"/>
    <cellStyle name="Normal" xfId="0" builtinId="0"/>
    <cellStyle name="Normal 2" xfId="2" xr:uid="{323B326A-B3C8-4348-AED0-EAE43F6D2A16}"/>
    <cellStyle name="Normal 3" xfId="3" xr:uid="{BA13846F-3CC9-4495-8FF4-45CB11B8D2DD}"/>
    <cellStyle name="Percent" xfId="1" builtinId="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Ratings!$E$2</c:f>
              <c:strCache>
                <c:ptCount val="1"/>
                <c:pt idx="0">
                  <c:v>Weight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Ratings!$B$3:$B$8</c:f>
              <c:strCache>
                <c:ptCount val="6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C</c:v>
                </c:pt>
                <c:pt idx="4">
                  <c:v>D</c:v>
                </c:pt>
                <c:pt idx="5">
                  <c:v>D-</c:v>
                </c:pt>
              </c:strCache>
            </c:strRef>
          </c:cat>
          <c:val>
            <c:numRef>
              <c:f>Ratings!$E$3:$E$8</c:f>
              <c:numCache>
                <c:formatCode>0.00</c:formatCode>
                <c:ptCount val="6"/>
                <c:pt idx="0">
                  <c:v>10</c:v>
                </c:pt>
                <c:pt idx="1">
                  <c:v>6.31</c:v>
                </c:pt>
                <c:pt idx="2">
                  <c:v>3.98</c:v>
                </c:pt>
                <c:pt idx="3">
                  <c:v>2.5099999999999998</c:v>
                </c:pt>
                <c:pt idx="4">
                  <c:v>1.59</c:v>
                </c:pt>
                <c:pt idx="5" formatCode="General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6F-4BC2-82C4-CDD97A19E9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280513456"/>
        <c:axId val="1534951728"/>
      </c:lineChart>
      <c:catAx>
        <c:axId val="128051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951728"/>
        <c:crosses val="autoZero"/>
        <c:auto val="1"/>
        <c:lblAlgn val="ctr"/>
        <c:lblOffset val="100"/>
        <c:noMultiLvlLbl val="0"/>
      </c:catAx>
      <c:valAx>
        <c:axId val="1534951728"/>
        <c:scaling>
          <c:orientation val="minMax"/>
          <c:max val="10"/>
        </c:scaling>
        <c:delete val="1"/>
        <c:axPos val="l"/>
        <c:numFmt formatCode="0.00" sourceLinked="1"/>
        <c:majorTickMark val="none"/>
        <c:minorTickMark val="none"/>
        <c:tickLblPos val="nextTo"/>
        <c:crossAx val="128051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</xdr:row>
      <xdr:rowOff>0</xdr:rowOff>
    </xdr:from>
    <xdr:to>
      <xdr:col>13</xdr:col>
      <xdr:colOff>438150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2656E9-8677-400D-BBCC-498634354D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kad4/Dropbox/Golf/archive/Tournament19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olf\archive\Tournament1008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ams"/>
      <sheetName val="players"/>
      <sheetName val="results"/>
      <sheetName val="analysis"/>
      <sheetName val="course"/>
      <sheetName val="expenses"/>
      <sheetName val="caldulator"/>
      <sheetName val="players (new)"/>
      <sheetName val="handicaps"/>
      <sheetName val="chart1"/>
      <sheetName val="chart2"/>
      <sheetName val="chart3"/>
      <sheetName val="alpha"/>
      <sheetName val="members"/>
      <sheetName val="address"/>
      <sheetName val="signup"/>
      <sheetName val="roster"/>
      <sheetName val="course_old"/>
      <sheetName val="lists"/>
    </sheetNames>
    <sheetDataSet>
      <sheetData sheetId="0" refreshError="1"/>
      <sheetData sheetId="1">
        <row r="4">
          <cell r="A4" t="str">
            <v>Altum, Denise</v>
          </cell>
        </row>
        <row r="5">
          <cell r="A5" t="str">
            <v>Altum, John</v>
          </cell>
        </row>
        <row r="6">
          <cell r="A6" t="str">
            <v>Altum, Shawn</v>
          </cell>
        </row>
        <row r="7">
          <cell r="A7" t="str">
            <v>Anderson, David</v>
          </cell>
        </row>
        <row r="8">
          <cell r="A8" t="str">
            <v>Ballar, David</v>
          </cell>
        </row>
        <row r="9">
          <cell r="A9" t="str">
            <v>Ballar, Jacob</v>
          </cell>
        </row>
        <row r="10">
          <cell r="A10" t="str">
            <v>Barton, Dewey</v>
          </cell>
        </row>
        <row r="11">
          <cell r="A11" t="str">
            <v>Bartsch, Bailey</v>
          </cell>
        </row>
        <row r="12">
          <cell r="A12" t="str">
            <v>Bartsch, Brad</v>
          </cell>
        </row>
        <row r="13">
          <cell r="A13" t="str">
            <v>Bartsch, Brent</v>
          </cell>
        </row>
        <row r="14">
          <cell r="A14" t="str">
            <v>Bartsch, Brian</v>
          </cell>
        </row>
        <row r="15">
          <cell r="A15" t="str">
            <v>Bartsch, Ernest</v>
          </cell>
        </row>
        <row r="16">
          <cell r="A16" t="str">
            <v>Bartsch, Hudson</v>
          </cell>
        </row>
        <row r="17">
          <cell r="A17" t="str">
            <v>Bartsch, Jeffrey</v>
          </cell>
        </row>
        <row r="18">
          <cell r="A18" t="str">
            <v>Bartsch, John</v>
          </cell>
        </row>
        <row r="19">
          <cell r="A19" t="str">
            <v>Bartsch, Jon</v>
          </cell>
        </row>
        <row r="20">
          <cell r="A20" t="str">
            <v>Bartsch, Keaton</v>
          </cell>
        </row>
        <row r="21">
          <cell r="A21" t="str">
            <v>Bartsch, Kelly</v>
          </cell>
        </row>
        <row r="22">
          <cell r="A22" t="str">
            <v>Bartsch, Kevin</v>
          </cell>
        </row>
        <row r="23">
          <cell r="A23" t="str">
            <v>Bartsch, Madison</v>
          </cell>
        </row>
        <row r="24">
          <cell r="A24" t="str">
            <v>Bartsch, Mark</v>
          </cell>
        </row>
        <row r="25">
          <cell r="A25" t="str">
            <v>Bartsch, Vincent</v>
          </cell>
        </row>
        <row r="26">
          <cell r="A26" t="str">
            <v>Bauer, Al</v>
          </cell>
        </row>
        <row r="27">
          <cell r="A27" t="str">
            <v>Beck, Beefy</v>
          </cell>
        </row>
        <row r="28">
          <cell r="A28" t="str">
            <v>Beck, Cody</v>
          </cell>
        </row>
        <row r="29">
          <cell r="A29" t="str">
            <v>Beck, Lloyd</v>
          </cell>
        </row>
        <row r="30">
          <cell r="A30" t="str">
            <v>Beck, Mark</v>
          </cell>
        </row>
        <row r="31">
          <cell r="A31" t="str">
            <v>Benoit, Chad</v>
          </cell>
        </row>
        <row r="32">
          <cell r="A32" t="str">
            <v>Bolding, Danny</v>
          </cell>
        </row>
        <row r="33">
          <cell r="A33" t="str">
            <v>Brown, Mike</v>
          </cell>
        </row>
        <row r="34">
          <cell r="A34" t="str">
            <v>Burdoll, Keith</v>
          </cell>
        </row>
        <row r="35">
          <cell r="A35" t="str">
            <v>Carillo, Joseph</v>
          </cell>
        </row>
        <row r="36">
          <cell r="A36" t="str">
            <v>Carillo, Justin</v>
          </cell>
        </row>
        <row r="37">
          <cell r="A37" t="str">
            <v>Carillo, Mark</v>
          </cell>
        </row>
        <row r="38">
          <cell r="A38" t="str">
            <v>Catchings, Lloyd</v>
          </cell>
        </row>
        <row r="39">
          <cell r="A39" t="str">
            <v>Chambliss, Cody</v>
          </cell>
        </row>
        <row r="40">
          <cell r="A40" t="str">
            <v>Cody, Kelly</v>
          </cell>
        </row>
        <row r="41">
          <cell r="A41" t="str">
            <v>Daily, Mickey</v>
          </cell>
        </row>
        <row r="42">
          <cell r="A42" t="str">
            <v>Darilek, Jay</v>
          </cell>
        </row>
        <row r="43">
          <cell r="A43" t="str">
            <v>Darilek, Julius</v>
          </cell>
        </row>
        <row r="44">
          <cell r="A44" t="str">
            <v>Darilek, Steve</v>
          </cell>
        </row>
        <row r="45">
          <cell r="A45" t="str">
            <v>Davila, Albert</v>
          </cell>
        </row>
        <row r="46">
          <cell r="A46" t="str">
            <v>Davila, Andrew</v>
          </cell>
        </row>
        <row r="47">
          <cell r="A47" t="str">
            <v>Davila, Angela</v>
          </cell>
        </row>
        <row r="48">
          <cell r="A48" t="str">
            <v>Davila, Lee</v>
          </cell>
        </row>
        <row r="49">
          <cell r="A49" t="str">
            <v>Davila, Mike</v>
          </cell>
        </row>
        <row r="50">
          <cell r="A50" t="str">
            <v>Davila, Phillip</v>
          </cell>
        </row>
        <row r="51">
          <cell r="A51" t="str">
            <v>Davila, Robert</v>
          </cell>
        </row>
        <row r="52">
          <cell r="A52" t="str">
            <v>Edwards, Toby</v>
          </cell>
        </row>
        <row r="53">
          <cell r="A53" t="str">
            <v>Fiebrich, Richie</v>
          </cell>
        </row>
        <row r="54">
          <cell r="A54" t="str">
            <v>Fiebrich, Steve</v>
          </cell>
        </row>
        <row r="55">
          <cell r="A55" t="str">
            <v>Fohn, Chris</v>
          </cell>
        </row>
        <row r="56">
          <cell r="A56" t="str">
            <v>Fohn, Justin</v>
          </cell>
        </row>
        <row r="57">
          <cell r="A57" t="str">
            <v>Foust, Scott</v>
          </cell>
        </row>
        <row r="58">
          <cell r="A58" t="str">
            <v>Frasier, Greg</v>
          </cell>
        </row>
        <row r="59">
          <cell r="A59" t="str">
            <v>French, Greg</v>
          </cell>
        </row>
        <row r="60">
          <cell r="A60" t="str">
            <v>French, Mike</v>
          </cell>
        </row>
        <row r="61">
          <cell r="A61" t="str">
            <v>French, Sheryl</v>
          </cell>
        </row>
        <row r="62">
          <cell r="A62" t="str">
            <v>French, Susan</v>
          </cell>
        </row>
        <row r="63">
          <cell r="A63" t="str">
            <v>Frerich, Carla</v>
          </cell>
        </row>
        <row r="64">
          <cell r="A64" t="str">
            <v>Frerich, Charles</v>
          </cell>
        </row>
        <row r="65">
          <cell r="A65" t="str">
            <v>Frerich, Jason</v>
          </cell>
        </row>
        <row r="66">
          <cell r="A66" t="str">
            <v>Frerich, Katy</v>
          </cell>
        </row>
        <row r="67">
          <cell r="A67" t="str">
            <v>Frerich, Nathan</v>
          </cell>
        </row>
        <row r="68">
          <cell r="A68" t="str">
            <v>Frerich, Ronnie</v>
          </cell>
        </row>
        <row r="69">
          <cell r="A69" t="str">
            <v>Friske, Gregory</v>
          </cell>
        </row>
        <row r="70">
          <cell r="A70" t="str">
            <v>Friske, Melanie</v>
          </cell>
        </row>
        <row r="71">
          <cell r="A71" t="str">
            <v>Gaddis, Brent</v>
          </cell>
        </row>
        <row r="72">
          <cell r="A72" t="str">
            <v>Gaddis, Heath</v>
          </cell>
        </row>
        <row r="73">
          <cell r="A73" t="str">
            <v>Goertz, Adam</v>
          </cell>
        </row>
        <row r="74">
          <cell r="A74" t="str">
            <v>Goertz, Anna</v>
          </cell>
        </row>
        <row r="75">
          <cell r="A75" t="str">
            <v>Goertz, Bobby</v>
          </cell>
        </row>
        <row r="76">
          <cell r="A76" t="str">
            <v>Goertz, Brent</v>
          </cell>
        </row>
        <row r="77">
          <cell r="A77" t="str">
            <v>Goertz, Brian</v>
          </cell>
        </row>
        <row r="78">
          <cell r="A78" t="str">
            <v>Goertz, Chad</v>
          </cell>
        </row>
        <row r="79">
          <cell r="A79" t="str">
            <v>Goertz, Christopher</v>
          </cell>
        </row>
        <row r="80">
          <cell r="A80" t="str">
            <v>Goertz, Cliff</v>
          </cell>
        </row>
        <row r="81">
          <cell r="A81" t="str">
            <v>Goertz, Clint</v>
          </cell>
        </row>
        <row r="82">
          <cell r="A82" t="str">
            <v>Goertz, Cody</v>
          </cell>
        </row>
        <row r="83">
          <cell r="A83" t="str">
            <v>Goertz, Cole</v>
          </cell>
        </row>
        <row r="84">
          <cell r="A84" t="str">
            <v>Goertz, DA</v>
          </cell>
        </row>
        <row r="85">
          <cell r="A85" t="str">
            <v>Goertz, Dan</v>
          </cell>
        </row>
        <row r="86">
          <cell r="A86" t="str">
            <v>Goertz, Darren</v>
          </cell>
        </row>
        <row r="87">
          <cell r="A87" t="str">
            <v>Goertz, Edith</v>
          </cell>
        </row>
        <row r="88">
          <cell r="A88" t="str">
            <v>Goertz, Elmer</v>
          </cell>
        </row>
        <row r="89">
          <cell r="A89" t="str">
            <v>Goertz, Eric</v>
          </cell>
        </row>
        <row r="90">
          <cell r="A90" t="str">
            <v>Goertz, Father Alois</v>
          </cell>
        </row>
        <row r="91">
          <cell r="A91" t="str">
            <v>Goertz, George</v>
          </cell>
        </row>
        <row r="92">
          <cell r="A92" t="str">
            <v>Goertz, Jason</v>
          </cell>
        </row>
        <row r="93">
          <cell r="A93" t="str">
            <v>Goertz, Jeffrey</v>
          </cell>
        </row>
        <row r="94">
          <cell r="A94" t="str">
            <v>Goertz, Joe</v>
          </cell>
        </row>
        <row r="95">
          <cell r="A95" t="str">
            <v>Goertz, John Allen</v>
          </cell>
        </row>
        <row r="96">
          <cell r="A96" t="str">
            <v>Goertz, Julaine</v>
          </cell>
        </row>
        <row r="97">
          <cell r="A97" t="str">
            <v>Goertz, Justin</v>
          </cell>
        </row>
        <row r="98">
          <cell r="A98" t="str">
            <v>Goertz, Kerry</v>
          </cell>
        </row>
        <row r="99">
          <cell r="A99" t="str">
            <v>Goertz, Kevin</v>
          </cell>
        </row>
        <row r="100">
          <cell r="A100" t="str">
            <v>Goertz, Kristine</v>
          </cell>
        </row>
        <row r="101">
          <cell r="A101" t="str">
            <v>Goertz, Krystal</v>
          </cell>
        </row>
        <row r="102">
          <cell r="A102" t="str">
            <v>Goertz, Lester</v>
          </cell>
        </row>
        <row r="103">
          <cell r="A103" t="str">
            <v>Goertz, Lori</v>
          </cell>
        </row>
        <row r="104">
          <cell r="A104" t="str">
            <v>Goertz, Matt</v>
          </cell>
        </row>
        <row r="105">
          <cell r="A105" t="str">
            <v>Goertz, Michael</v>
          </cell>
        </row>
        <row r="106">
          <cell r="A106" t="str">
            <v>Goertz, Mike</v>
          </cell>
        </row>
        <row r="107">
          <cell r="A107" t="str">
            <v>Goertz, Mitchell</v>
          </cell>
        </row>
        <row r="108">
          <cell r="A108" t="str">
            <v>Goertz, Nancy</v>
          </cell>
        </row>
        <row r="109">
          <cell r="A109" t="str">
            <v>Goertz, Nathan</v>
          </cell>
        </row>
        <row r="110">
          <cell r="A110" t="str">
            <v>Goertz, Nicholas</v>
          </cell>
        </row>
        <row r="111">
          <cell r="A111" t="str">
            <v>Goertz, Steve</v>
          </cell>
        </row>
        <row r="112">
          <cell r="A112" t="str">
            <v>Goertz, Vincent</v>
          </cell>
        </row>
        <row r="113">
          <cell r="A113" t="str">
            <v>Goertz, William</v>
          </cell>
        </row>
        <row r="114">
          <cell r="A114" t="str">
            <v>Halbrook, Clayton</v>
          </cell>
        </row>
        <row r="115">
          <cell r="A115" t="str">
            <v>Halbrook, David</v>
          </cell>
        </row>
        <row r="116">
          <cell r="A116" t="str">
            <v>Hanna, Aaron</v>
          </cell>
        </row>
        <row r="117">
          <cell r="A117" t="str">
            <v>Hanna, Jeffrey</v>
          </cell>
        </row>
        <row r="118">
          <cell r="A118" t="str">
            <v>Harkins, Scott</v>
          </cell>
        </row>
        <row r="119">
          <cell r="A119" t="str">
            <v>Harris, Jeff</v>
          </cell>
        </row>
        <row r="120">
          <cell r="A120" t="str">
            <v>Heilman, Cory</v>
          </cell>
        </row>
        <row r="121">
          <cell r="A121" t="str">
            <v>Henderson, Jennifer</v>
          </cell>
        </row>
        <row r="122">
          <cell r="A122" t="str">
            <v>Henderson, Steven</v>
          </cell>
        </row>
        <row r="123">
          <cell r="A123" t="str">
            <v>Hendrix, Jarred</v>
          </cell>
        </row>
        <row r="124">
          <cell r="A124" t="str">
            <v>Hendrix, Larry</v>
          </cell>
        </row>
        <row r="125">
          <cell r="A125" t="str">
            <v>Henry, Dwayne</v>
          </cell>
        </row>
        <row r="126">
          <cell r="A126" t="str">
            <v>Hershap, Brandon</v>
          </cell>
        </row>
        <row r="127">
          <cell r="A127" t="str">
            <v>Hibbs, Dempsey</v>
          </cell>
        </row>
        <row r="128">
          <cell r="A128" t="str">
            <v>Hibbs, Kim</v>
          </cell>
        </row>
        <row r="129">
          <cell r="A129" t="str">
            <v>Hilbig, Brenna</v>
          </cell>
        </row>
        <row r="130">
          <cell r="A130" t="str">
            <v>Hilbig, Chase</v>
          </cell>
        </row>
        <row r="131">
          <cell r="A131" t="str">
            <v>Hilbig, Kevin</v>
          </cell>
        </row>
        <row r="132">
          <cell r="A132" t="str">
            <v>Hilbig, Luke</v>
          </cell>
        </row>
        <row r="133">
          <cell r="A133" t="str">
            <v>Hodgeson, Denise</v>
          </cell>
        </row>
        <row r="134">
          <cell r="A134" t="str">
            <v>Hoffman, Bret</v>
          </cell>
        </row>
        <row r="135">
          <cell r="A135" t="str">
            <v>Hoffman, Joe</v>
          </cell>
        </row>
        <row r="136">
          <cell r="A136" t="str">
            <v>Hoffman, Keith</v>
          </cell>
        </row>
        <row r="137">
          <cell r="A137" t="str">
            <v>Hoffman, Kenny</v>
          </cell>
        </row>
        <row r="138">
          <cell r="A138" t="str">
            <v>Hoffman, Kevin</v>
          </cell>
        </row>
        <row r="139">
          <cell r="A139" t="str">
            <v>Hoffman, Nicole</v>
          </cell>
        </row>
        <row r="140">
          <cell r="A140" t="str">
            <v>Hoffman, Richard</v>
          </cell>
        </row>
        <row r="141">
          <cell r="A141" t="str">
            <v>Hoffman, Robyn</v>
          </cell>
        </row>
        <row r="142">
          <cell r="A142" t="str">
            <v>Hoffman, Toby</v>
          </cell>
        </row>
        <row r="143">
          <cell r="A143" t="str">
            <v>Hoffman, Tyler</v>
          </cell>
        </row>
        <row r="144">
          <cell r="A144" t="str">
            <v>Holub, Tim</v>
          </cell>
        </row>
        <row r="145">
          <cell r="A145" t="str">
            <v>Hyde, Thomas</v>
          </cell>
        </row>
        <row r="146">
          <cell r="A146" t="str">
            <v>Johnson, Don</v>
          </cell>
        </row>
        <row r="147">
          <cell r="A147" t="str">
            <v>Jones, John</v>
          </cell>
        </row>
        <row r="148">
          <cell r="A148" t="str">
            <v>Kadura, Bill</v>
          </cell>
        </row>
        <row r="149">
          <cell r="A149" t="str">
            <v>Kadura, Glenn</v>
          </cell>
        </row>
        <row r="150">
          <cell r="A150" t="str">
            <v>Kadura, John</v>
          </cell>
        </row>
        <row r="151">
          <cell r="A151" t="str">
            <v>Kadura, Luke</v>
          </cell>
        </row>
        <row r="152">
          <cell r="A152" t="str">
            <v>Kadura, Rodney</v>
          </cell>
        </row>
        <row r="153">
          <cell r="A153" t="str">
            <v>Kaspar, Jonathan</v>
          </cell>
        </row>
        <row r="154">
          <cell r="A154" t="str">
            <v>Keating, Jason</v>
          </cell>
        </row>
        <row r="155">
          <cell r="A155" t="str">
            <v>Kinchloe, Daniel</v>
          </cell>
        </row>
        <row r="156">
          <cell r="A156" t="str">
            <v>King, Tommy</v>
          </cell>
        </row>
        <row r="157">
          <cell r="A157" t="str">
            <v>Klaus, Allan</v>
          </cell>
        </row>
        <row r="158">
          <cell r="A158" t="str">
            <v>Klaus, Brian</v>
          </cell>
        </row>
        <row r="159">
          <cell r="A159" t="str">
            <v>Klaus, Chelsea</v>
          </cell>
        </row>
        <row r="160">
          <cell r="A160" t="str">
            <v>Klaus, Gary</v>
          </cell>
        </row>
        <row r="161">
          <cell r="A161" t="str">
            <v>Klaus, Jason</v>
          </cell>
        </row>
        <row r="162">
          <cell r="A162" t="str">
            <v>Klaus, Jeff</v>
          </cell>
        </row>
        <row r="163">
          <cell r="A163" t="str">
            <v>Klaus, Jeff</v>
          </cell>
        </row>
        <row r="164">
          <cell r="A164" t="str">
            <v>Klaus, Justin</v>
          </cell>
        </row>
        <row r="165">
          <cell r="A165" t="str">
            <v>Klaus, Kevin</v>
          </cell>
        </row>
        <row r="166">
          <cell r="A166" t="str">
            <v>Klaus, Kim</v>
          </cell>
        </row>
        <row r="167">
          <cell r="A167" t="str">
            <v>Klaus, Kris</v>
          </cell>
        </row>
        <row r="168">
          <cell r="A168" t="str">
            <v>Klaus, Larry</v>
          </cell>
        </row>
        <row r="169">
          <cell r="A169" t="str">
            <v>Klaus, Nicole</v>
          </cell>
        </row>
        <row r="170">
          <cell r="A170" t="str">
            <v>Klaus, Russel</v>
          </cell>
        </row>
        <row r="171">
          <cell r="A171" t="str">
            <v>Klaus, Sidney</v>
          </cell>
        </row>
        <row r="172">
          <cell r="A172" t="str">
            <v>Klaus, Stephen</v>
          </cell>
        </row>
        <row r="173">
          <cell r="A173" t="str">
            <v>Lambert, Tim</v>
          </cell>
        </row>
        <row r="174">
          <cell r="A174" t="str">
            <v>Lang, Joe</v>
          </cell>
        </row>
        <row r="175">
          <cell r="A175" t="str">
            <v>Lott, Dustin</v>
          </cell>
        </row>
        <row r="176">
          <cell r="A176" t="str">
            <v>Martin, Clint</v>
          </cell>
        </row>
        <row r="177">
          <cell r="A177" t="str">
            <v>Mauldin, Ronnie</v>
          </cell>
        </row>
        <row r="178">
          <cell r="A178" t="str">
            <v>Mauldin, Roy</v>
          </cell>
        </row>
        <row r="179">
          <cell r="A179" t="str">
            <v>Mauldin, Stormy</v>
          </cell>
        </row>
        <row r="180">
          <cell r="A180" t="str">
            <v>Maynard, Lacy</v>
          </cell>
        </row>
        <row r="181">
          <cell r="A181" t="str">
            <v>Menely, Amy</v>
          </cell>
        </row>
        <row r="182">
          <cell r="A182" t="str">
            <v>Meuth, Adam</v>
          </cell>
        </row>
        <row r="183">
          <cell r="A183" t="str">
            <v>Meuth, Brittany</v>
          </cell>
        </row>
        <row r="184">
          <cell r="A184" t="str">
            <v>Meuth, Chris</v>
          </cell>
        </row>
        <row r="185">
          <cell r="A185" t="str">
            <v>Meuth, Jeff</v>
          </cell>
        </row>
        <row r="186">
          <cell r="A186" t="str">
            <v>Meuth, John</v>
          </cell>
        </row>
        <row r="187">
          <cell r="A187" t="str">
            <v>Meuth, Justin</v>
          </cell>
        </row>
        <row r="188">
          <cell r="A188" t="str">
            <v>Meuth, Kalli</v>
          </cell>
        </row>
        <row r="189">
          <cell r="A189" t="str">
            <v>Meuth, Katy</v>
          </cell>
        </row>
        <row r="190">
          <cell r="A190" t="str">
            <v>Meuth, Kristy</v>
          </cell>
        </row>
        <row r="191">
          <cell r="A191" t="str">
            <v>Meuth, Mark</v>
          </cell>
        </row>
        <row r="192">
          <cell r="A192" t="str">
            <v>Meuth, Steve</v>
          </cell>
        </row>
        <row r="193">
          <cell r="A193" t="str">
            <v>Meuth, Teri</v>
          </cell>
        </row>
        <row r="194">
          <cell r="A194" t="str">
            <v>Meuth, Wayne</v>
          </cell>
        </row>
        <row r="195">
          <cell r="A195" t="str">
            <v>Moncure, Krystal</v>
          </cell>
        </row>
        <row r="196">
          <cell r="A196" t="str">
            <v>Moncure, Seth</v>
          </cell>
        </row>
        <row r="197">
          <cell r="A197" t="str">
            <v>Moore, Kenny</v>
          </cell>
        </row>
        <row r="198">
          <cell r="A198" t="str">
            <v>Muehr, Damian</v>
          </cell>
        </row>
        <row r="199">
          <cell r="A199" t="str">
            <v>Muehr, Greg</v>
          </cell>
        </row>
        <row r="200">
          <cell r="A200" t="str">
            <v>Muehr, Jordan</v>
          </cell>
        </row>
        <row r="201">
          <cell r="A201" t="str">
            <v>Muehr, Joey</v>
          </cell>
        </row>
        <row r="202">
          <cell r="A202" t="str">
            <v>Muehr, Vincent</v>
          </cell>
        </row>
        <row r="203">
          <cell r="A203" t="str">
            <v>Murphy, Braden</v>
          </cell>
        </row>
        <row r="204">
          <cell r="A204" t="str">
            <v>Murphy, Bryson</v>
          </cell>
        </row>
        <row r="205">
          <cell r="A205" t="str">
            <v>Murphy, Donna</v>
          </cell>
        </row>
        <row r="206">
          <cell r="A206" t="str">
            <v>Murphy, Patrick</v>
          </cell>
        </row>
        <row r="207">
          <cell r="A207" t="str">
            <v>Nutt, Bradley</v>
          </cell>
        </row>
        <row r="208">
          <cell r="A208" t="str">
            <v>Osborne, Bart</v>
          </cell>
        </row>
        <row r="209">
          <cell r="A209" t="str">
            <v>Osborne, Clint</v>
          </cell>
        </row>
        <row r="210">
          <cell r="A210" t="str">
            <v>Osborne, Derek</v>
          </cell>
        </row>
        <row r="211">
          <cell r="A211" t="str">
            <v>Osborne, Josh</v>
          </cell>
        </row>
        <row r="212">
          <cell r="A212" t="str">
            <v>Osborne, Shaun</v>
          </cell>
        </row>
        <row r="213">
          <cell r="A213" t="str">
            <v>Osborne, Trace</v>
          </cell>
        </row>
        <row r="214">
          <cell r="A214" t="str">
            <v>Osborne, Trevor</v>
          </cell>
        </row>
        <row r="215">
          <cell r="A215" t="str">
            <v>Park, Richard</v>
          </cell>
        </row>
        <row r="216">
          <cell r="A216" t="str">
            <v>Paul, Chris</v>
          </cell>
        </row>
        <row r="217">
          <cell r="A217" t="str">
            <v>Prasek, Leon</v>
          </cell>
        </row>
        <row r="218">
          <cell r="A218" t="str">
            <v>Probst, Bernard</v>
          </cell>
        </row>
        <row r="219">
          <cell r="A219" t="str">
            <v>Pugh, Mike</v>
          </cell>
        </row>
        <row r="220">
          <cell r="A220" t="str">
            <v>Rascke, Don</v>
          </cell>
        </row>
        <row r="221">
          <cell r="A221" t="str">
            <v>Rascke, Scott</v>
          </cell>
        </row>
        <row r="222">
          <cell r="A222" t="str">
            <v>Rathman, Joe</v>
          </cell>
        </row>
        <row r="223">
          <cell r="A223" t="str">
            <v>Saunders, Lindsey</v>
          </cell>
        </row>
        <row r="224">
          <cell r="A224" t="str">
            <v>Saunders, Tyler</v>
          </cell>
        </row>
        <row r="225">
          <cell r="A225" t="str">
            <v>Seidel, Darryl</v>
          </cell>
        </row>
        <row r="226">
          <cell r="A226" t="str">
            <v>Seidel, Johnny</v>
          </cell>
        </row>
        <row r="227">
          <cell r="A227" t="str">
            <v>Shimek, Jerry</v>
          </cell>
        </row>
        <row r="228">
          <cell r="A228" t="str">
            <v>Shimek, Jerry Dean</v>
          </cell>
        </row>
        <row r="229">
          <cell r="A229" t="str">
            <v>Shock, Peter</v>
          </cell>
        </row>
        <row r="230">
          <cell r="A230" t="str">
            <v>Shores, Monty</v>
          </cell>
        </row>
        <row r="231">
          <cell r="A231" t="str">
            <v>Shuelke, Troy</v>
          </cell>
        </row>
        <row r="232">
          <cell r="A232" t="str">
            <v>Smith, Chase</v>
          </cell>
        </row>
        <row r="233">
          <cell r="A233" t="str">
            <v>Smith, Doug</v>
          </cell>
        </row>
        <row r="234">
          <cell r="A234" t="str">
            <v>Smith, Kyle</v>
          </cell>
        </row>
        <row r="235">
          <cell r="A235" t="str">
            <v>Smith, Lucy</v>
          </cell>
        </row>
        <row r="236">
          <cell r="A236" t="str">
            <v>Smith, Wyatt</v>
          </cell>
        </row>
        <row r="237">
          <cell r="A237" t="str">
            <v>Solomon, Thomas</v>
          </cell>
        </row>
        <row r="238">
          <cell r="A238" t="str">
            <v>Spain, Mark</v>
          </cell>
        </row>
        <row r="239">
          <cell r="A239" t="str">
            <v>Spurlock, Earl</v>
          </cell>
        </row>
        <row r="240">
          <cell r="A240" t="str">
            <v>Spurlock, Eric</v>
          </cell>
        </row>
        <row r="241">
          <cell r="A241" t="str">
            <v>Spurlock, Hanna</v>
          </cell>
        </row>
        <row r="242">
          <cell r="A242" t="str">
            <v>Spurlock, Pauline</v>
          </cell>
        </row>
        <row r="243">
          <cell r="A243" t="str">
            <v>Spurlock, Jackie</v>
          </cell>
        </row>
        <row r="244">
          <cell r="A244" t="str">
            <v>Spurlock, LaRae</v>
          </cell>
        </row>
        <row r="245">
          <cell r="A245" t="str">
            <v>Spurlock, Richard</v>
          </cell>
        </row>
        <row r="246">
          <cell r="A246" t="str">
            <v>Spurlock, Vanessa</v>
          </cell>
        </row>
        <row r="247">
          <cell r="A247" t="str">
            <v>Stagman, Keith</v>
          </cell>
        </row>
        <row r="248">
          <cell r="A248" t="str">
            <v>Sweringin, Seth</v>
          </cell>
        </row>
        <row r="249">
          <cell r="A249" t="str">
            <v>Thielemann, Doug</v>
          </cell>
        </row>
        <row r="250">
          <cell r="A250" t="str">
            <v>Tucker, Colton</v>
          </cell>
        </row>
        <row r="251">
          <cell r="A251" t="str">
            <v>Tucker, Dan</v>
          </cell>
        </row>
        <row r="252">
          <cell r="A252" t="str">
            <v>Tucker, Gary</v>
          </cell>
        </row>
        <row r="253">
          <cell r="A253" t="str">
            <v>Tucker, Jackie</v>
          </cell>
        </row>
        <row r="254">
          <cell r="A254" t="str">
            <v>Tucker, Jeremey</v>
          </cell>
        </row>
        <row r="255">
          <cell r="A255" t="str">
            <v>Tucker, Jessica</v>
          </cell>
        </row>
        <row r="256">
          <cell r="A256" t="str">
            <v>Tucker, Josh</v>
          </cell>
        </row>
        <row r="257">
          <cell r="A257" t="str">
            <v>Tucker, Kevin</v>
          </cell>
        </row>
        <row r="258">
          <cell r="A258" t="str">
            <v>Tucker, Lance</v>
          </cell>
        </row>
        <row r="259">
          <cell r="A259" t="str">
            <v>Tucker, Landry</v>
          </cell>
        </row>
        <row r="260">
          <cell r="A260" t="str">
            <v>Tucker, Logan</v>
          </cell>
        </row>
        <row r="261">
          <cell r="A261" t="str">
            <v>Tucker, Marshall</v>
          </cell>
        </row>
        <row r="262">
          <cell r="A262" t="str">
            <v>Tucker, Matt</v>
          </cell>
        </row>
        <row r="263">
          <cell r="A263" t="str">
            <v>Tucker, Mike</v>
          </cell>
        </row>
        <row r="264">
          <cell r="A264" t="str">
            <v>Tucker, Ricky</v>
          </cell>
        </row>
        <row r="265">
          <cell r="A265" t="str">
            <v>Tucker, Ronnie</v>
          </cell>
        </row>
        <row r="266">
          <cell r="A266" t="str">
            <v>Tucker, Samuel</v>
          </cell>
        </row>
        <row r="267">
          <cell r="A267" t="str">
            <v>Tucker, Scott</v>
          </cell>
        </row>
        <row r="268">
          <cell r="A268" t="str">
            <v>Tucker, Stephen</v>
          </cell>
        </row>
        <row r="269">
          <cell r="A269" t="str">
            <v>Tucker, Susie</v>
          </cell>
        </row>
        <row r="270">
          <cell r="A270" t="str">
            <v>Tucker, Timmy</v>
          </cell>
        </row>
        <row r="271">
          <cell r="A271" t="str">
            <v>Vasquez, Matt</v>
          </cell>
        </row>
        <row r="272">
          <cell r="A272" t="str">
            <v>Vinclarek, Andrew</v>
          </cell>
        </row>
        <row r="273">
          <cell r="A273" t="str">
            <v>Vinclarek, Brittany</v>
          </cell>
        </row>
        <row r="274">
          <cell r="A274" t="str">
            <v>Voight, Justin</v>
          </cell>
        </row>
        <row r="275">
          <cell r="A275" t="str">
            <v>Wallace, Blackie</v>
          </cell>
        </row>
        <row r="276">
          <cell r="A276" t="str">
            <v>Wallace, Dwayne</v>
          </cell>
        </row>
        <row r="277">
          <cell r="A277" t="str">
            <v>Wallace, Laverne</v>
          </cell>
        </row>
        <row r="278">
          <cell r="A278" t="str">
            <v>Wannek, Brian</v>
          </cell>
        </row>
        <row r="279">
          <cell r="A279" t="str">
            <v>Warren, Harley</v>
          </cell>
        </row>
        <row r="280">
          <cell r="A280" t="str">
            <v>Warren, Janet</v>
          </cell>
        </row>
        <row r="281">
          <cell r="A281" t="str">
            <v>Warren, Mark</v>
          </cell>
        </row>
        <row r="282">
          <cell r="A282" t="str">
            <v>Wellerman, Cindy</v>
          </cell>
        </row>
        <row r="283">
          <cell r="A283" t="str">
            <v>Whiteaker, Bo</v>
          </cell>
        </row>
        <row r="284">
          <cell r="A284" t="str">
            <v>Wilhelm, Kenneth</v>
          </cell>
        </row>
        <row r="285">
          <cell r="A285" t="str">
            <v>Wilson, Nathan</v>
          </cell>
        </row>
        <row r="286">
          <cell r="A286" t="str">
            <v>Wolf, Amber</v>
          </cell>
        </row>
        <row r="287">
          <cell r="A287" t="str">
            <v>Wolf, Dovie</v>
          </cell>
        </row>
        <row r="288">
          <cell r="A288" t="str">
            <v>Wolf, Kevin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lts"/>
      <sheetName val="analysis"/>
      <sheetName val="teams"/>
      <sheetName val="players"/>
      <sheetName val="course"/>
      <sheetName val="expenses"/>
      <sheetName val="chart1"/>
      <sheetName val="chart2"/>
      <sheetName val="chart3"/>
      <sheetName val="alpha"/>
      <sheetName val="members"/>
      <sheetName val="address"/>
      <sheetName val="signup"/>
      <sheetName val="roster"/>
      <sheetName val="0705"/>
      <sheetName val="0608"/>
      <sheetName val="0605"/>
      <sheetName val="0505"/>
      <sheetName val="0705R"/>
      <sheetName val="list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A2" t="str">
            <v>Base</v>
          </cell>
        </row>
        <row r="3">
          <cell r="A3" t="str">
            <v>Calc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37985-E773-444F-B850-2F09CACABB32}">
  <sheetPr codeName="TournamentSheet"/>
  <dimension ref="A1:U161"/>
  <sheetViews>
    <sheetView showGridLines="0" tabSelected="1" zoomScaleNormal="100" workbookViewId="0">
      <pane ySplit="1" topLeftCell="A2" activePane="bottomLeft" state="frozen"/>
      <selection pane="bottomLeft" activeCell="F19" sqref="F19"/>
    </sheetView>
  </sheetViews>
  <sheetFormatPr defaultRowHeight="15" x14ac:dyDescent="0.25"/>
  <cols>
    <col min="1" max="2" width="5.85546875" style="53" bestFit="1" customWidth="1"/>
    <col min="3" max="5" width="19.42578125" customWidth="1"/>
    <col min="6" max="8" width="8" style="55" bestFit="1" customWidth="1"/>
    <col min="9" max="11" width="8" style="54" bestFit="1" customWidth="1"/>
    <col min="12" max="12" width="8" style="72" customWidth="1"/>
    <col min="13" max="13" width="6.5703125" style="53" bestFit="1" customWidth="1"/>
    <col min="15" max="15" width="10.42578125" customWidth="1"/>
    <col min="16" max="16" width="17.5703125" bestFit="1" customWidth="1"/>
    <col min="17" max="17" width="16.85546875" bestFit="1" customWidth="1"/>
    <col min="18" max="18" width="18" bestFit="1" customWidth="1"/>
    <col min="19" max="19" width="10.42578125" customWidth="1"/>
    <col min="20" max="20" width="10.42578125" style="101" customWidth="1"/>
    <col min="21" max="21" width="10.42578125" customWidth="1"/>
  </cols>
  <sheetData>
    <row r="1" spans="1:21" ht="30" x14ac:dyDescent="0.25">
      <c r="A1" s="102" t="s">
        <v>261</v>
      </c>
      <c r="B1" s="102" t="s">
        <v>286</v>
      </c>
      <c r="C1" s="104" t="s">
        <v>264</v>
      </c>
      <c r="D1" s="104" t="s">
        <v>265</v>
      </c>
      <c r="E1" s="104" t="s">
        <v>266</v>
      </c>
      <c r="F1" s="103" t="s">
        <v>267</v>
      </c>
      <c r="G1" s="103" t="s">
        <v>268</v>
      </c>
      <c r="H1" s="103" t="s">
        <v>269</v>
      </c>
      <c r="I1" s="105" t="s">
        <v>271</v>
      </c>
      <c r="J1" s="105" t="s">
        <v>272</v>
      </c>
      <c r="K1" s="105" t="s">
        <v>270</v>
      </c>
      <c r="L1" s="106" t="s">
        <v>307</v>
      </c>
      <c r="M1" s="102" t="s">
        <v>152</v>
      </c>
      <c r="O1" s="102" t="s">
        <v>366</v>
      </c>
      <c r="P1" s="102" t="s">
        <v>361</v>
      </c>
      <c r="Q1" s="102" t="s">
        <v>362</v>
      </c>
      <c r="R1" s="102" t="s">
        <v>363</v>
      </c>
      <c r="S1" s="102" t="s">
        <v>365</v>
      </c>
      <c r="T1" s="103" t="s">
        <v>364</v>
      </c>
      <c r="U1" s="102" t="s">
        <v>367</v>
      </c>
    </row>
    <row r="2" spans="1:21" x14ac:dyDescent="0.25">
      <c r="A2" s="109" t="s">
        <v>355</v>
      </c>
      <c r="B2" s="109">
        <v>1</v>
      </c>
      <c r="C2" s="110" t="s">
        <v>423</v>
      </c>
      <c r="D2" s="110" t="s">
        <v>424</v>
      </c>
      <c r="E2" s="110" t="s">
        <v>425</v>
      </c>
      <c r="F2" s="111">
        <v>28.920338983050851</v>
      </c>
      <c r="G2" s="111">
        <v>19.344067796610172</v>
      </c>
      <c r="H2" s="111">
        <v>9.7677966101694942</v>
      </c>
      <c r="I2" s="112">
        <f>IF(AND(ISNUMBER(F2),ISNUMBER(G2),ISNUMBER(H2)),(65-F2)/((65-F2)+(65-G2)+(65-H2)),"")</f>
        <v>0.26341710905693533</v>
      </c>
      <c r="J2" s="112">
        <f>IF(AND(ISNUMBER(F2),ISNUMBER(G2),ISNUMBER(H2)),(65-G2)/((65-F2)+(65-G2)+(65-H2)),"")</f>
        <v>0.33333333333333331</v>
      </c>
      <c r="K2" s="112">
        <f>IF(AND(ISNUMBER(F2),ISNUMBER(G2),ISNUMBER(H2)),(65-H2)/((65-F2)+(65-G2)+(65-H2)),"")</f>
        <v>0.40324955760973136</v>
      </c>
      <c r="L2" s="113"/>
      <c r="M2" s="114">
        <f>IF(ISNUMBER(I2),(F2*I2*0.5)+(G2*J2*0.5)+(H2*K2*0.5)-4+L2,"")</f>
        <v>5.0024971743022917</v>
      </c>
      <c r="O2" s="107" t="str">
        <f>IF(LEN(A2)&gt;0,A2,"")</f>
        <v>01A</v>
      </c>
      <c r="P2" s="107" t="str">
        <f>IF(LEN(A2)&gt;0,C2,"")</f>
        <v>Heath Hilbig</v>
      </c>
      <c r="Q2" s="107" t="str">
        <f>IF(LEN(A2)&gt;2,D2,"")</f>
        <v>Kevin Hoffman</v>
      </c>
      <c r="R2" s="107" t="str">
        <f>IF(LEN(A2)&gt;2,E2,"")</f>
        <v>Austin Hughes</v>
      </c>
      <c r="S2" s="107">
        <f>IF(LEN(A2)&gt;2,B2,"")</f>
        <v>1</v>
      </c>
      <c r="T2" s="108">
        <f>IF(LEN(A2)&gt;0,M2,"")</f>
        <v>5.0024971743022917</v>
      </c>
      <c r="U2" s="107" t="b">
        <f>IF(LEN(A2)&gt;0,TRUE,"")</f>
        <v>1</v>
      </c>
    </row>
    <row r="3" spans="1:21" x14ac:dyDescent="0.25">
      <c r="A3" s="109" t="s">
        <v>354</v>
      </c>
      <c r="B3" s="109">
        <v>2</v>
      </c>
      <c r="C3" s="110" t="s">
        <v>273</v>
      </c>
      <c r="D3" s="110" t="s">
        <v>334</v>
      </c>
      <c r="E3" s="110" t="s">
        <v>383</v>
      </c>
      <c r="F3" s="111">
        <v>31.31440677966102</v>
      </c>
      <c r="G3" s="111">
        <v>52.861016949152543</v>
      </c>
      <c r="H3" s="111">
        <v>29.877966101694916</v>
      </c>
      <c r="I3" s="112">
        <f>IF(AND(ISNUMBER(F3),ISNUMBER(G3),ISNUMBER(H3)),(65-F3)/((65-F3)+(65-G3)+(65-H3)),"")</f>
        <v>0.4161458169749887</v>
      </c>
      <c r="J3" s="112">
        <f>IF(AND(ISNUMBER(F3),ISNUMBER(G3),ISNUMBER(H3)),(65-G3)/((65-F3)+(65-G3)+(65-H3)),"")</f>
        <v>0.14996283384109635</v>
      </c>
      <c r="K3" s="112">
        <f>IF(AND(ISNUMBER(F3),ISNUMBER(G3),ISNUMBER(H3)),(65-H3)/((65-F3)+(65-G3)+(65-H3)),"")</f>
        <v>0.43389134918391492</v>
      </c>
      <c r="L3" s="113"/>
      <c r="M3" s="114">
        <f>IF(ISNUMBER(I3),(F3*I3*0.5)+(G3*J3*0.5)+(H3*K3*0.5)-4+L3,"")</f>
        <v>12.961169158280992</v>
      </c>
      <c r="O3" s="107" t="str">
        <f>IF(LEN(A3)&gt;0,A3,"")</f>
        <v>02A</v>
      </c>
      <c r="P3" s="107" t="str">
        <f>IF(LEN(A3)&gt;0,C3,"")</f>
        <v>Mark Meuth</v>
      </c>
      <c r="Q3" s="107" t="str">
        <f>IF(LEN(A3)&gt;2,D3,"")</f>
        <v>Teri Meuth</v>
      </c>
      <c r="R3" s="107" t="str">
        <f>IF(LEN(A3)&gt;2,E3,"")</f>
        <v>Jeff Meuth</v>
      </c>
      <c r="S3" s="107">
        <f>IF(LEN(A3)&gt;2,B3,"")</f>
        <v>2</v>
      </c>
      <c r="T3" s="108">
        <f>IF(LEN(A3)&gt;0,M3,"")</f>
        <v>12.961169158280992</v>
      </c>
      <c r="U3" s="107" t="b">
        <f>IF(LEN(A3)&gt;0,TRUE,"")</f>
        <v>1</v>
      </c>
    </row>
    <row r="4" spans="1:21" x14ac:dyDescent="0.25">
      <c r="A4" s="109" t="s">
        <v>356</v>
      </c>
      <c r="B4" s="109">
        <v>2</v>
      </c>
      <c r="C4" s="110" t="s">
        <v>384</v>
      </c>
      <c r="D4" s="110" t="s">
        <v>335</v>
      </c>
      <c r="E4" s="110" t="s">
        <v>385</v>
      </c>
      <c r="F4" s="111">
        <v>38.496610169491525</v>
      </c>
      <c r="G4" s="111">
        <v>36.969194915254235</v>
      </c>
      <c r="H4" s="111">
        <v>38.496610169491525</v>
      </c>
      <c r="I4" s="112">
        <f>IF(AND(ISNUMBER(F4),ISNUMBER(G4),ISNUMBER(H4)),(65-F4)/((65-F4)+(65-G4)+(65-H4)),"")</f>
        <v>0.32705058910204354</v>
      </c>
      <c r="J4" s="112">
        <f>IF(AND(ISNUMBER(F4),ISNUMBER(G4),ISNUMBER(H4)),(65-G4)/((65-F4)+(65-G4)+(65-H4)),"")</f>
        <v>0.34589882179591286</v>
      </c>
      <c r="K4" s="112">
        <f>IF(AND(ISNUMBER(F4),ISNUMBER(G4),ISNUMBER(H4)),(65-H4)/((65-F4)+(65-G4)+(65-H4)),"")</f>
        <v>0.32705058910204354</v>
      </c>
      <c r="L4" s="113"/>
      <c r="M4" s="114">
        <f>IF(ISNUMBER(I4),(F4*I4*0.5)+(G4*J4*0.5)+(H4*K4*0.5)-4+L4,"")</f>
        <v>14.98413951632887</v>
      </c>
      <c r="O4" s="107" t="str">
        <f>IF(LEN(A4)&gt;0,A4,"")</f>
        <v>02B</v>
      </c>
      <c r="P4" s="107" t="str">
        <f>IF(LEN(A4)&gt;0,C4,"")</f>
        <v>Lloyd Beck</v>
      </c>
      <c r="Q4" s="107" t="str">
        <f>IF(LEN(A4)&gt;2,D4,"")</f>
        <v>Beefy Beck</v>
      </c>
      <c r="R4" s="107" t="str">
        <f>IF(LEN(A4)&gt;2,E4,"")</f>
        <v>Cody Beck</v>
      </c>
      <c r="S4" s="107">
        <f>IF(LEN(A4)&gt;2,B4,"")</f>
        <v>2</v>
      </c>
      <c r="T4" s="108">
        <f>IF(LEN(A4)&gt;0,M4,"")</f>
        <v>14.98413951632887</v>
      </c>
      <c r="U4" s="107" t="b">
        <f>IF(LEN(A4)&gt;0,TRUE,"")</f>
        <v>1</v>
      </c>
    </row>
    <row r="5" spans="1:21" x14ac:dyDescent="0.25">
      <c r="A5" s="109" t="s">
        <v>357</v>
      </c>
      <c r="B5" s="109">
        <v>9</v>
      </c>
      <c r="C5" s="110" t="s">
        <v>341</v>
      </c>
      <c r="D5" s="110" t="s">
        <v>342</v>
      </c>
      <c r="E5" s="110" t="s">
        <v>419</v>
      </c>
      <c r="F5" s="111">
        <v>35.722063157466778</v>
      </c>
      <c r="G5" s="111">
        <v>35.788357444697112</v>
      </c>
      <c r="H5" s="111">
        <v>38.496610169491525</v>
      </c>
      <c r="I5" s="112">
        <f>IF(AND(ISNUMBER(F5),ISNUMBER(G5),ISNUMBER(H5)),(65-F5)/((65-F5)+(65-G5)+(65-H5)),"")</f>
        <v>0.34447480901478178</v>
      </c>
      <c r="J5" s="112">
        <f>IF(AND(ISNUMBER(F5),ISNUMBER(G5),ISNUMBER(H5)),(65-G5)/((65-F5)+(65-G5)+(65-H5)),"")</f>
        <v>0.34369481170638999</v>
      </c>
      <c r="K5" s="112">
        <f>IF(AND(ISNUMBER(F5),ISNUMBER(G5),ISNUMBER(H5)),(65-H5)/((65-F5)+(65-G5)+(65-H5)),"")</f>
        <v>0.31183037927882834</v>
      </c>
      <c r="L5" s="113"/>
      <c r="M5" s="114">
        <f>IF(ISNUMBER(I5),(F5*I5*0.5)+(G5*J5*0.5)+(H5*K5*0.5)-4+L5,"")</f>
        <v>14.305018103560119</v>
      </c>
      <c r="O5" s="107" t="str">
        <f>IF(LEN(A5)&gt;0,A5,"")</f>
        <v>09A</v>
      </c>
      <c r="P5" s="107" t="str">
        <f>IF(LEN(A5)&gt;0,C5,"")</f>
        <v>Stephen Klaus</v>
      </c>
      <c r="Q5" s="107" t="str">
        <f>IF(LEN(A5)&gt;2,D5,"")</f>
        <v>Kevin Wolf</v>
      </c>
      <c r="R5" s="107" t="str">
        <f>IF(LEN(A5)&gt;2,E5,"")</f>
        <v>Colton Stabeno</v>
      </c>
      <c r="S5" s="107">
        <f>IF(LEN(A5)&gt;2,B5,"")</f>
        <v>9</v>
      </c>
      <c r="T5" s="108">
        <f>IF(LEN(A5)&gt;0,M5,"")</f>
        <v>14.305018103560119</v>
      </c>
      <c r="U5" s="107" t="b">
        <f>IF(LEN(A5)&gt;0,TRUE,"")</f>
        <v>1</v>
      </c>
    </row>
    <row r="6" spans="1:21" x14ac:dyDescent="0.25">
      <c r="A6" s="109" t="s">
        <v>358</v>
      </c>
      <c r="B6" s="109">
        <v>9</v>
      </c>
      <c r="C6" s="110" t="s">
        <v>431</v>
      </c>
      <c r="D6" s="110" t="s">
        <v>432</v>
      </c>
      <c r="E6" s="110" t="s">
        <v>433</v>
      </c>
      <c r="F6" s="111">
        <v>33.708474576271186</v>
      </c>
      <c r="G6" s="111">
        <v>24.132203389830511</v>
      </c>
      <c r="H6" s="111">
        <v>24.132203389830511</v>
      </c>
      <c r="I6" s="112">
        <f>IF(AND(ISNUMBER(F6),ISNUMBER(G6),ISNUMBER(H6)),(65-F6)/((65-F6)+(65-G6)+(65-H6)),"")</f>
        <v>0.27684971358306093</v>
      </c>
      <c r="J6" s="112">
        <f>IF(AND(ISNUMBER(F6),ISNUMBER(G6),ISNUMBER(H6)),(65-G6)/((65-F6)+(65-G6)+(65-H6)),"")</f>
        <v>0.36157514320846956</v>
      </c>
      <c r="K6" s="112">
        <f>IF(AND(ISNUMBER(F6),ISNUMBER(G6),ISNUMBER(H6)),(65-H6)/((65-F6)+(65-G6)+(65-H6)),"")</f>
        <v>0.36157514320846956</v>
      </c>
      <c r="L6" s="113"/>
      <c r="M6" s="114">
        <f>IF(ISNUMBER(I6),(F6*I6*0.5)+(G6*J6*0.5)+(H6*K6*0.5)-4+L6,"")</f>
        <v>9.3916956624951666</v>
      </c>
      <c r="O6" s="107" t="str">
        <f>IF(LEN(A6)&gt;0,A6,"")</f>
        <v>09B</v>
      </c>
      <c r="P6" s="107" t="str">
        <f>IF(LEN(A6)&gt;0,C6,"")</f>
        <v>Nicole Bridges</v>
      </c>
      <c r="Q6" s="107" t="str">
        <f>IF(LEN(A6)&gt;2,D6,"")</f>
        <v>Dustin Bridges</v>
      </c>
      <c r="R6" s="107" t="str">
        <f>IF(LEN(A6)&gt;2,E6,"")</f>
        <v>Ty Klaus-Kisamore</v>
      </c>
      <c r="S6" s="107">
        <f>IF(LEN(A6)&gt;2,B6,"")</f>
        <v>9</v>
      </c>
      <c r="T6" s="108">
        <f>IF(LEN(A6)&gt;0,M6,"")</f>
        <v>9.3916956624951666</v>
      </c>
      <c r="U6" s="107" t="b">
        <f>IF(LEN(A6)&gt;0,TRUE,"")</f>
        <v>1</v>
      </c>
    </row>
    <row r="7" spans="1:21" x14ac:dyDescent="0.25">
      <c r="A7" s="109" t="s">
        <v>448</v>
      </c>
      <c r="B7" s="109">
        <v>11</v>
      </c>
      <c r="C7" s="110" t="s">
        <v>420</v>
      </c>
      <c r="D7" s="110" t="s">
        <v>421</v>
      </c>
      <c r="E7" s="110" t="s">
        <v>422</v>
      </c>
      <c r="F7" s="111">
        <v>25</v>
      </c>
      <c r="G7" s="111">
        <v>20.907372881355933</v>
      </c>
      <c r="H7" s="111">
        <v>25</v>
      </c>
      <c r="I7" s="112">
        <f>IF(AND(ISNUMBER(F7),ISNUMBER(G7),ISNUMBER(H7)),(65-F7)/((65-F7)+(65-G7)+(65-H7)),"")</f>
        <v>0.32233985957728406</v>
      </c>
      <c r="J7" s="112">
        <f>IF(AND(ISNUMBER(F7),ISNUMBER(G7),ISNUMBER(H7)),(65-G7)/((65-F7)+(65-G7)+(65-H7)),"")</f>
        <v>0.35532028084543194</v>
      </c>
      <c r="K7" s="112">
        <f>IF(AND(ISNUMBER(F7),ISNUMBER(G7),ISNUMBER(H7)),(65-H7)/((65-F7)+(65-G7)+(65-H7)),"")</f>
        <v>0.32233985957728406</v>
      </c>
      <c r="L7" s="113"/>
      <c r="M7" s="114">
        <f>IF(ISNUMBER(I7),(F7*I7*0.5)+(G7*J7*0.5)+(H7*K7*0.5)-4+L7,"")</f>
        <v>7.77290329140388</v>
      </c>
      <c r="O7" s="107" t="str">
        <f>IF(LEN(A7)&gt;0,A7,"")</f>
        <v>11A</v>
      </c>
      <c r="P7" s="107" t="str">
        <f>IF(LEN(A7)&gt;0,C7,"")</f>
        <v>Derek Osborn</v>
      </c>
      <c r="Q7" s="107" t="str">
        <f>IF(LEN(A7)&gt;2,D7,"")</f>
        <v>Chad Goertz</v>
      </c>
      <c r="R7" s="107" t="str">
        <f>IF(LEN(A7)&gt;2,E7,"")</f>
        <v>Cole Goertz</v>
      </c>
      <c r="S7" s="107">
        <f>IF(LEN(A7)&gt;2,B7,"")</f>
        <v>11</v>
      </c>
      <c r="T7" s="108">
        <f>IF(LEN(A7)&gt;0,M7,"")</f>
        <v>7.77290329140388</v>
      </c>
      <c r="U7" s="107" t="b">
        <f>IF(LEN(A7)&gt;0,TRUE,"")</f>
        <v>1</v>
      </c>
    </row>
    <row r="8" spans="1:21" x14ac:dyDescent="0.25">
      <c r="A8" s="109" t="s">
        <v>449</v>
      </c>
      <c r="B8" s="109">
        <v>11</v>
      </c>
      <c r="C8" s="110" t="s">
        <v>426</v>
      </c>
      <c r="D8" s="110" t="s">
        <v>427</v>
      </c>
      <c r="E8" s="110" t="s">
        <v>428</v>
      </c>
      <c r="F8" s="111">
        <v>9.7677966101694942</v>
      </c>
      <c r="G8" s="111">
        <v>19.344067796610172</v>
      </c>
      <c r="H8" s="111">
        <v>38.496610169491525</v>
      </c>
      <c r="I8" s="112">
        <f>IF(AND(ISNUMBER(F8),ISNUMBER(G8),ISNUMBER(H8)),(65-F8)/((65-F8)+(65-G8)+(65-H8)),"")</f>
        <v>0.43356261891140346</v>
      </c>
      <c r="J8" s="112">
        <f>IF(AND(ISNUMBER(F8),ISNUMBER(G8),ISNUMBER(H8)),(65-G8)/((65-F8)+(65-G8)+(65-H8)),"")</f>
        <v>0.35839065472785087</v>
      </c>
      <c r="K8" s="112">
        <f>IF(AND(ISNUMBER(F8),ISNUMBER(G8),ISNUMBER(H8)),(65-H8)/((65-F8)+(65-G8)+(65-H8)),"")</f>
        <v>0.20804672636074562</v>
      </c>
      <c r="L8" s="113"/>
      <c r="M8" s="114">
        <f>IF(ISNUMBER(I8),(F8*I8*0.5)+(G8*J8*0.5)+(H8*K8*0.5)-4+L8,"")</f>
        <v>5.5883891618872852</v>
      </c>
      <c r="O8" s="107" t="str">
        <f>IF(LEN(A8)&gt;0,A8,"")</f>
        <v>11B</v>
      </c>
      <c r="P8" s="107" t="str">
        <f>IF(LEN(A8)&gt;0,C8,"")</f>
        <v>Cliff Hendrix</v>
      </c>
      <c r="Q8" s="107" t="str">
        <f>IF(LEN(A8)&gt;2,D8,"")</f>
        <v>Phil Hendrix</v>
      </c>
      <c r="R8" s="107" t="str">
        <f>IF(LEN(A8)&gt;2,E8,"")</f>
        <v>Carolyn Hendrix</v>
      </c>
      <c r="S8" s="107">
        <f>IF(LEN(A8)&gt;2,B8,"")</f>
        <v>11</v>
      </c>
      <c r="T8" s="108">
        <f>IF(LEN(A8)&gt;0,M8,"")</f>
        <v>5.5883891618872852</v>
      </c>
      <c r="U8" s="107" t="b">
        <f>IF(LEN(A8)&gt;0,TRUE,"")</f>
        <v>1</v>
      </c>
    </row>
    <row r="9" spans="1:21" x14ac:dyDescent="0.25">
      <c r="A9" s="109" t="s">
        <v>446</v>
      </c>
      <c r="B9" s="109">
        <v>12</v>
      </c>
      <c r="C9" s="110" t="s">
        <v>275</v>
      </c>
      <c r="D9" s="110" t="s">
        <v>276</v>
      </c>
      <c r="E9" s="110" t="s">
        <v>277</v>
      </c>
      <c r="F9" s="111">
        <v>19.527612994350321</v>
      </c>
      <c r="G9" s="111">
        <v>19.299478913033177</v>
      </c>
      <c r="H9" s="111">
        <v>24.132203389830511</v>
      </c>
      <c r="I9" s="112">
        <f>IF(AND(ISNUMBER(F9),ISNUMBER(G9),ISNUMBER(H9)),(65-F9)/((65-F9)+(65-G9)+(65-H9)),"")</f>
        <v>0.34438158375483308</v>
      </c>
      <c r="J9" s="112">
        <f>IF(AND(ISNUMBER(F9),ISNUMBER(G9),ISNUMBER(H9)),(65-G9)/((65-F9)+(65-G9)+(65-H9)),"")</f>
        <v>0.34610933946342809</v>
      </c>
      <c r="K9" s="112">
        <f>IF(AND(ISNUMBER(F9),ISNUMBER(G9),ISNUMBER(H9)),(65-H9)/((65-F9)+(65-G9)+(65-H9)),"")</f>
        <v>0.30950907678173878</v>
      </c>
      <c r="L9" s="113"/>
      <c r="M9" s="114">
        <f>IF(ISNUMBER(I9),(F9*I9*0.5)+(G9*J9*0.5)+(H9*K9*0.5)-4+L9,"")</f>
        <v>6.4369080902098403</v>
      </c>
      <c r="O9" s="107" t="str">
        <f>IF(LEN(A9)&gt;0,A9,"")</f>
        <v>12A</v>
      </c>
      <c r="P9" s="107" t="str">
        <f>IF(LEN(A9)&gt;0,C9,"")</f>
        <v>Richie Fiebrich</v>
      </c>
      <c r="Q9" s="107" t="str">
        <f>IF(LEN(A9)&gt;2,D9,"")</f>
        <v>Steve Fiebrich</v>
      </c>
      <c r="R9" s="107" t="str">
        <f>IF(LEN(A9)&gt;2,E9,"")</f>
        <v>Kevin Klaus</v>
      </c>
      <c r="S9" s="107">
        <f>IF(LEN(A9)&gt;2,B9,"")</f>
        <v>12</v>
      </c>
      <c r="T9" s="108">
        <f>IF(LEN(A9)&gt;0,M9,"")</f>
        <v>6.4369080902098403</v>
      </c>
      <c r="U9" s="107" t="b">
        <f>IF(LEN(A9)&gt;0,TRUE,"")</f>
        <v>1</v>
      </c>
    </row>
    <row r="10" spans="1:21" x14ac:dyDescent="0.25">
      <c r="A10" s="109" t="s">
        <v>447</v>
      </c>
      <c r="B10" s="109">
        <v>12</v>
      </c>
      <c r="C10" s="110" t="s">
        <v>403</v>
      </c>
      <c r="D10" s="110" t="s">
        <v>404</v>
      </c>
      <c r="E10" s="110" t="s">
        <v>405</v>
      </c>
      <c r="F10" s="111">
        <v>16</v>
      </c>
      <c r="G10" s="111">
        <v>20</v>
      </c>
      <c r="H10" s="111">
        <v>22</v>
      </c>
      <c r="I10" s="112">
        <f>IF(AND(ISNUMBER(F10),ISNUMBER(G10),ISNUMBER(H10)),(65-F10)/((65-F10)+(65-G10)+(65-H10)),"")</f>
        <v>0.35766423357664234</v>
      </c>
      <c r="J10" s="112">
        <f>IF(AND(ISNUMBER(F10),ISNUMBER(G10),ISNUMBER(H10)),(65-G10)/((65-F10)+(65-G10)+(65-H10)),"")</f>
        <v>0.32846715328467152</v>
      </c>
      <c r="K10" s="112">
        <f>IF(AND(ISNUMBER(F10),ISNUMBER(G10),ISNUMBER(H10)),(65-H10)/((65-F10)+(65-G10)+(65-H10)),"")</f>
        <v>0.31386861313868614</v>
      </c>
      <c r="L10" s="113"/>
      <c r="M10" s="114">
        <f>IF(ISNUMBER(I10),(F10*I10*0.5)+(G10*J10*0.5)+(H10*K10*0.5)-4+L10,"")</f>
        <v>5.5985401459854014</v>
      </c>
      <c r="O10" s="107" t="str">
        <f>IF(LEN(A10)&gt;0,A10,"")</f>
        <v>12B</v>
      </c>
      <c r="P10" s="107" t="str">
        <f>IF(LEN(A10)&gt;0,C10,"")</f>
        <v>Clint Osborn</v>
      </c>
      <c r="Q10" s="107" t="str">
        <f>IF(LEN(A10)&gt;2,D10,"")</f>
        <v>Michael Osborn</v>
      </c>
      <c r="R10" s="107" t="str">
        <f>IF(LEN(A10)&gt;2,E10,"")</f>
        <v>Denny Winkler</v>
      </c>
      <c r="S10" s="107">
        <f>IF(LEN(A10)&gt;2,B10,"")</f>
        <v>12</v>
      </c>
      <c r="T10" s="108">
        <f>IF(LEN(A10)&gt;0,M10,"")</f>
        <v>5.5985401459854014</v>
      </c>
      <c r="U10" s="107" t="b">
        <f>IF(LEN(A10)&gt;0,TRUE,"")</f>
        <v>1</v>
      </c>
    </row>
    <row r="11" spans="1:21" x14ac:dyDescent="0.25">
      <c r="A11" s="109" t="s">
        <v>444</v>
      </c>
      <c r="B11" s="109">
        <v>13</v>
      </c>
      <c r="C11" s="110" t="s">
        <v>346</v>
      </c>
      <c r="D11" s="110" t="s">
        <v>347</v>
      </c>
      <c r="E11" s="110" t="s">
        <v>348</v>
      </c>
      <c r="F11" s="111">
        <v>22</v>
      </c>
      <c r="G11" s="111">
        <v>27.005084745762716</v>
      </c>
      <c r="H11" s="111">
        <v>34.657203389830514</v>
      </c>
      <c r="I11" s="112">
        <f>IF(AND(ISNUMBER(F11),ISNUMBER(G11),ISNUMBER(H11)),(65-F11)/((65-F11)+(65-G11)+(65-H11)),"")</f>
        <v>0.38621235590298264</v>
      </c>
      <c r="J11" s="112">
        <f>IF(AND(ISNUMBER(F11),ISNUMBER(G11),ISNUMBER(H11)),(65-G11)/((65-F11)+(65-G11)+(65-H11)),"")</f>
        <v>0.34125827285286403</v>
      </c>
      <c r="K11" s="112">
        <f>IF(AND(ISNUMBER(F11),ISNUMBER(G11),ISNUMBER(H11)),(65-H11)/((65-F11)+(65-G11)+(65-H11)),"")</f>
        <v>0.27252937124415333</v>
      </c>
      <c r="L11" s="113"/>
      <c r="M11" s="114">
        <f>IF(ISNUMBER(I11),(F11*I11*0.5)+(G11*J11*0.5)+(H11*K11*0.5)-4+L11,"")</f>
        <v>9.5787431286805393</v>
      </c>
      <c r="O11" s="107" t="str">
        <f>IF(LEN(A11)&gt;0,A11,"")</f>
        <v>13A</v>
      </c>
      <c r="P11" s="107" t="str">
        <f>IF(LEN(A11)&gt;0,C11,"")</f>
        <v>Doug Thielemann</v>
      </c>
      <c r="Q11" s="107" t="str">
        <f>IF(LEN(A11)&gt;2,D11,"")</f>
        <v>Kenny Bauer</v>
      </c>
      <c r="R11" s="107" t="str">
        <f>IF(LEN(A11)&gt;2,E11,"")</f>
        <v>Julian Kresge</v>
      </c>
      <c r="S11" s="107">
        <f>IF(LEN(A11)&gt;2,B11,"")</f>
        <v>13</v>
      </c>
      <c r="T11" s="108">
        <f>IF(LEN(A11)&gt;0,M11,"")</f>
        <v>9.5787431286805393</v>
      </c>
      <c r="U11" s="107" t="b">
        <f>IF(LEN(A11)&gt;0,TRUE,"")</f>
        <v>1</v>
      </c>
    </row>
    <row r="12" spans="1:21" x14ac:dyDescent="0.25">
      <c r="A12" s="109" t="s">
        <v>445</v>
      </c>
      <c r="B12" s="109">
        <v>13</v>
      </c>
      <c r="C12" s="110" t="s">
        <v>400</v>
      </c>
      <c r="D12" s="110" t="s">
        <v>345</v>
      </c>
      <c r="E12" s="110" t="s">
        <v>401</v>
      </c>
      <c r="F12" s="111">
        <v>34.657203389830514</v>
      </c>
      <c r="G12" s="111">
        <v>25.002542372881358</v>
      </c>
      <c r="H12" s="111">
        <v>23</v>
      </c>
      <c r="I12" s="112">
        <f>IF(AND(ISNUMBER(F12),ISNUMBER(G12),ISNUMBER(H12)),(65-F12)/((65-F12)+(65-G12)+(65-H12)),"")</f>
        <v>0.27009727560415353</v>
      </c>
      <c r="J12" s="112">
        <f>IF(AND(ISNUMBER(F12),ISNUMBER(G12),ISNUMBER(H12)),(65-G12)/((65-F12)+(65-G12)+(65-H12)),"")</f>
        <v>0.35603851797090408</v>
      </c>
      <c r="K12" s="112">
        <f>IF(AND(ISNUMBER(F12),ISNUMBER(G12),ISNUMBER(H12)),(65-H12)/((65-F12)+(65-G12)+(65-H12)),"")</f>
        <v>0.37386420642494245</v>
      </c>
      <c r="L12" s="113"/>
      <c r="M12" s="114">
        <f>IF(ISNUMBER(I12),(F12*I12*0.5)+(G12*J12*0.5)+(H12*K12*0.5)-4+L12,"")</f>
        <v>9.4307805476856714</v>
      </c>
      <c r="O12" s="107" t="str">
        <f>IF(LEN(A12)&gt;0,A12,"")</f>
        <v>13B</v>
      </c>
      <c r="P12" s="107" t="str">
        <f>IF(LEN(A12)&gt;0,C12,"")</f>
        <v>Weston Bauer</v>
      </c>
      <c r="Q12" s="107" t="str">
        <f>IF(LEN(A12)&gt;2,D12,"")</f>
        <v>Chris Paul</v>
      </c>
      <c r="R12" s="107" t="str">
        <f>IF(LEN(A12)&gt;2,E12,"")</f>
        <v>Al Bauer</v>
      </c>
      <c r="S12" s="107">
        <f>IF(LEN(A12)&gt;2,B12,"")</f>
        <v>13</v>
      </c>
      <c r="T12" s="108">
        <f>IF(LEN(A12)&gt;0,M12,"")</f>
        <v>9.4307805476856714</v>
      </c>
      <c r="U12" s="107" t="b">
        <f>IF(LEN(A12)&gt;0,TRUE,"")</f>
        <v>1</v>
      </c>
    </row>
    <row r="13" spans="1:21" x14ac:dyDescent="0.25">
      <c r="A13" s="109" t="s">
        <v>442</v>
      </c>
      <c r="B13" s="109">
        <v>14</v>
      </c>
      <c r="C13" s="110" t="s">
        <v>284</v>
      </c>
      <c r="D13" s="110" t="s">
        <v>391</v>
      </c>
      <c r="E13" s="110" t="s">
        <v>392</v>
      </c>
      <c r="F13" s="111">
        <v>36.581355932203394</v>
      </c>
      <c r="G13" s="111">
        <v>20.887790287514402</v>
      </c>
      <c r="H13" s="111">
        <v>33.708474576271186</v>
      </c>
      <c r="I13" s="112">
        <f>IF(AND(ISNUMBER(F13),ISNUMBER(G13),ISNUMBER(H13)),(65-F13)/((65-F13)+(65-G13)+(65-H13)),"")</f>
        <v>0.27372368352254728</v>
      </c>
      <c r="J13" s="112">
        <f>IF(AND(ISNUMBER(F13),ISNUMBER(G13),ISNUMBER(H13)),(65-G13)/((65-F13)+(65-G13)+(65-H13)),"")</f>
        <v>0.42488151447391787</v>
      </c>
      <c r="K13" s="112">
        <f>IF(AND(ISNUMBER(F13),ISNUMBER(G13),ISNUMBER(H13)),(65-H13)/((65-F13)+(65-G13)+(65-H13)),"")</f>
        <v>0.30139480200353486</v>
      </c>
      <c r="L13" s="113"/>
      <c r="M13" s="114">
        <f>IF(ISNUMBER(I13),(F13*I13*0.5)+(G13*J13*0.5)+(H13*K13*0.5)-4+L13,"")</f>
        <v>10.523789243070626</v>
      </c>
      <c r="O13" s="107" t="str">
        <f>IF(LEN(A13)&gt;0,A13,"")</f>
        <v>14A</v>
      </c>
      <c r="P13" s="107" t="str">
        <f>IF(LEN(A13)&gt;0,C13,"")</f>
        <v>Dewey Barton</v>
      </c>
      <c r="Q13" s="107" t="str">
        <f>IF(LEN(A13)&gt;2,D13,"")</f>
        <v>Wayne Meuth</v>
      </c>
      <c r="R13" s="107" t="str">
        <f>IF(LEN(A13)&gt;2,E13,"")</f>
        <v>Joe Kleiber</v>
      </c>
      <c r="S13" s="107">
        <f>IF(LEN(A13)&gt;2,B13,"")</f>
        <v>14</v>
      </c>
      <c r="T13" s="108">
        <f>IF(LEN(A13)&gt;0,M13,"")</f>
        <v>10.523789243070626</v>
      </c>
      <c r="U13" s="107" t="b">
        <f>IF(LEN(A13)&gt;0,TRUE,"")</f>
        <v>1</v>
      </c>
    </row>
    <row r="14" spans="1:21" x14ac:dyDescent="0.25">
      <c r="A14" s="109" t="s">
        <v>443</v>
      </c>
      <c r="B14" s="109">
        <v>14</v>
      </c>
      <c r="C14" s="110" t="s">
        <v>344</v>
      </c>
      <c r="D14" s="110" t="s">
        <v>343</v>
      </c>
      <c r="E14" s="110" t="s">
        <v>399</v>
      </c>
      <c r="F14" s="111">
        <v>28</v>
      </c>
      <c r="G14" s="111">
        <v>28</v>
      </c>
      <c r="H14" s="111">
        <v>12</v>
      </c>
      <c r="I14" s="112">
        <f>IF(AND(ISNUMBER(F14),ISNUMBER(G14),ISNUMBER(H14)),(65-F14)/((65-F14)+(65-G14)+(65-H14)),"")</f>
        <v>0.29133858267716534</v>
      </c>
      <c r="J14" s="112">
        <f>IF(AND(ISNUMBER(F14),ISNUMBER(G14),ISNUMBER(H14)),(65-G14)/((65-F14)+(65-G14)+(65-H14)),"")</f>
        <v>0.29133858267716534</v>
      </c>
      <c r="K14" s="112">
        <f>IF(AND(ISNUMBER(F14),ISNUMBER(G14),ISNUMBER(H14)),(65-H14)/((65-F14)+(65-G14)+(65-H14)),"")</f>
        <v>0.41732283464566927</v>
      </c>
      <c r="L14" s="113"/>
      <c r="M14" s="114">
        <f>IF(ISNUMBER(I14),(F14*I14*0.5)+(G14*J14*0.5)+(H14*K14*0.5)-4+L14,"")</f>
        <v>6.6614173228346445</v>
      </c>
      <c r="O14" s="107" t="str">
        <f>IF(LEN(A14)&gt;0,A14,"")</f>
        <v>14B</v>
      </c>
      <c r="P14" s="107" t="str">
        <f>IF(LEN(A14)&gt;0,C14,"")</f>
        <v>Jerry Shimek</v>
      </c>
      <c r="Q14" s="107" t="str">
        <f>IF(LEN(A14)&gt;2,D14,"")</f>
        <v>Jerry Dean Shimek</v>
      </c>
      <c r="R14" s="107" t="str">
        <f>IF(LEN(A14)&gt;2,E14,"")</f>
        <v>Brent Hoffman</v>
      </c>
      <c r="S14" s="107">
        <f>IF(LEN(A14)&gt;2,B14,"")</f>
        <v>14</v>
      </c>
      <c r="T14" s="108">
        <f>IF(LEN(A14)&gt;0,M14,"")</f>
        <v>6.6614173228346445</v>
      </c>
      <c r="U14" s="107" t="b">
        <f>IF(LEN(A14)&gt;0,TRUE,"")</f>
        <v>1</v>
      </c>
    </row>
    <row r="15" spans="1:21" x14ac:dyDescent="0.25">
      <c r="A15" s="109" t="s">
        <v>440</v>
      </c>
      <c r="B15" s="109">
        <v>15</v>
      </c>
      <c r="C15" s="110" t="s">
        <v>387</v>
      </c>
      <c r="D15" s="110" t="s">
        <v>388</v>
      </c>
      <c r="E15" s="110" t="s">
        <v>389</v>
      </c>
      <c r="F15" s="111">
        <v>24.132203389830511</v>
      </c>
      <c r="G15" s="111">
        <v>48.072881355932203</v>
      </c>
      <c r="H15" s="111">
        <v>19.344067796610172</v>
      </c>
      <c r="I15" s="112">
        <f>IF(AND(ISNUMBER(F15),ISNUMBER(G15),ISNUMBER(H15)),(65-F15)/((65-F15)+(65-G15)+(65-H15)),"")</f>
        <v>0.39504554689035987</v>
      </c>
      <c r="J15" s="112">
        <f>IF(AND(ISNUMBER(F15),ISNUMBER(G15),ISNUMBER(H15)),(65-G15)/((65-F15)+(65-G15)+(65-H15)),"")</f>
        <v>0.16362474605151062</v>
      </c>
      <c r="K15" s="112">
        <f>IF(AND(ISNUMBER(F15),ISNUMBER(G15),ISNUMBER(H15)),(65-H15)/((65-F15)+(65-G15)+(65-H15)),"")</f>
        <v>0.44132970705812963</v>
      </c>
      <c r="L15" s="113"/>
      <c r="M15" s="114">
        <f>IF(ISNUMBER(I15),(F15*I15*0.5)+(G15*J15*0.5)+(H15*K15*0.5)-4+L15,"")</f>
        <v>8.9681721318121816</v>
      </c>
      <c r="O15" s="107" t="str">
        <f>IF(LEN(A15)&gt;0,A15,"")</f>
        <v>15A</v>
      </c>
      <c r="P15" s="107" t="str">
        <f>IF(LEN(A15)&gt;0,C15,"")</f>
        <v>Greg Friske</v>
      </c>
      <c r="Q15" s="107" t="str">
        <f>IF(LEN(A15)&gt;2,D15,"")</f>
        <v>Nicholas Friske</v>
      </c>
      <c r="R15" s="107" t="str">
        <f>IF(LEN(A15)&gt;2,E15,"")</f>
        <v>Greg French</v>
      </c>
      <c r="S15" s="107">
        <f>IF(LEN(A15)&gt;2,B15,"")</f>
        <v>15</v>
      </c>
      <c r="T15" s="108">
        <f>IF(LEN(A15)&gt;0,M15,"")</f>
        <v>8.9681721318121816</v>
      </c>
      <c r="U15" s="107" t="b">
        <f>IF(LEN(A15)&gt;0,TRUE,"")</f>
        <v>1</v>
      </c>
    </row>
    <row r="16" spans="1:21" x14ac:dyDescent="0.25">
      <c r="A16" s="109" t="s">
        <v>441</v>
      </c>
      <c r="B16" s="109">
        <v>15</v>
      </c>
      <c r="C16" s="110" t="s">
        <v>262</v>
      </c>
      <c r="D16" s="110" t="s">
        <v>263</v>
      </c>
      <c r="E16" s="110" t="s">
        <v>390</v>
      </c>
      <c r="F16" s="111">
        <v>21.715250249676373</v>
      </c>
      <c r="G16" s="111">
        <v>23.130163274022365</v>
      </c>
      <c r="H16" s="111">
        <v>26.526271186440681</v>
      </c>
      <c r="I16" s="112">
        <f>IF(AND(ISNUMBER(F16),ISNUMBER(G16),ISNUMBER(H16)),(65-F16)/((65-F16)+(65-G16)+(65-H16)),"")</f>
        <v>0.35012003236344064</v>
      </c>
      <c r="J16" s="112">
        <f>IF(AND(ISNUMBER(F16),ISNUMBER(G16),ISNUMBER(H16)),(65-G16)/((65-F16)+(65-G16)+(65-H16)),"")</f>
        <v>0.33867513787443487</v>
      </c>
      <c r="K16" s="112">
        <f>IF(AND(ISNUMBER(F16),ISNUMBER(G16),ISNUMBER(H16)),(65-H16)/((65-F16)+(65-G16)+(65-H16)),"")</f>
        <v>0.31120482976212455</v>
      </c>
      <c r="L16" s="113"/>
      <c r="M16" s="114">
        <f>IF(ISNUMBER(I16),(F16*I16*0.5)+(G16*J16*0.5)+(H16*K16*0.5)-4+L16,"")</f>
        <v>7.8458295324424192</v>
      </c>
      <c r="O16" s="107" t="str">
        <f>IF(LEN(A16)&gt;0,A16,"")</f>
        <v>15B</v>
      </c>
      <c r="P16" s="107" t="str">
        <f>IF(LEN(A16)&gt;0,C16,"")</f>
        <v>John Altum</v>
      </c>
      <c r="Q16" s="107" t="str">
        <f>IF(LEN(A16)&gt;2,D16,"")</f>
        <v>Rodney Kadura</v>
      </c>
      <c r="R16" s="107" t="str">
        <f>IF(LEN(A16)&gt;2,E16,"")</f>
        <v>Luke Kadura</v>
      </c>
      <c r="S16" s="107">
        <f>IF(LEN(A16)&gt;2,B16,"")</f>
        <v>15</v>
      </c>
      <c r="T16" s="108">
        <f>IF(LEN(A16)&gt;0,M16,"")</f>
        <v>7.8458295324424192</v>
      </c>
      <c r="U16" s="107" t="b">
        <f>IF(LEN(A16)&gt;0,TRUE,"")</f>
        <v>1</v>
      </c>
    </row>
    <row r="17" spans="1:21" x14ac:dyDescent="0.25">
      <c r="A17" s="109" t="s">
        <v>438</v>
      </c>
      <c r="B17" s="109">
        <v>16</v>
      </c>
      <c r="C17" s="110" t="s">
        <v>279</v>
      </c>
      <c r="D17" s="110" t="s">
        <v>280</v>
      </c>
      <c r="E17" s="110" t="s">
        <v>281</v>
      </c>
      <c r="F17" s="111">
        <v>22.415098163841844</v>
      </c>
      <c r="G17" s="111">
        <v>26.495164265536754</v>
      </c>
      <c r="H17" s="111">
        <v>26.495164265536754</v>
      </c>
      <c r="I17" s="112">
        <f>IF(AND(ISNUMBER(F17),ISNUMBER(G17),ISNUMBER(H17)),(65-F17)/((65-F17)+(65-G17)+(65-H17)),"")</f>
        <v>0.35607720868341131</v>
      </c>
      <c r="J17" s="112">
        <f>IF(AND(ISNUMBER(F17),ISNUMBER(G17),ISNUMBER(H17)),(65-G17)/((65-F17)+(65-G17)+(65-H17)),"")</f>
        <v>0.32196139565829435</v>
      </c>
      <c r="K17" s="112">
        <f>IF(AND(ISNUMBER(F17),ISNUMBER(G17),ISNUMBER(H17)),(65-H17)/((65-F17)+(65-G17)+(65-H17)),"")</f>
        <v>0.32196139565829435</v>
      </c>
      <c r="L17" s="113"/>
      <c r="M17" s="114">
        <f>IF(ISNUMBER(I17),(F17*I17*0.5)+(G17*J17*0.5)+(H17*K17*0.5)-4+L17,"")</f>
        <v>8.5211728584007123</v>
      </c>
      <c r="O17" s="107" t="str">
        <f>IF(LEN(A17)&gt;0,A17,"")</f>
        <v>16A</v>
      </c>
      <c r="P17" s="107" t="str">
        <f>IF(LEN(A17)&gt;0,C17,"")</f>
        <v>John Kadura</v>
      </c>
      <c r="Q17" s="107" t="str">
        <f>IF(LEN(A17)&gt;2,D17,"")</f>
        <v>Kris Klaus</v>
      </c>
      <c r="R17" s="107" t="str">
        <f>IF(LEN(A17)&gt;2,E17,"")</f>
        <v>Brian Klaus</v>
      </c>
      <c r="S17" s="107">
        <f>IF(LEN(A17)&gt;2,B17,"")</f>
        <v>16</v>
      </c>
      <c r="T17" s="108">
        <f>IF(LEN(A17)&gt;0,M17,"")</f>
        <v>8.5211728584007123</v>
      </c>
      <c r="U17" s="107" t="b">
        <f>IF(LEN(A17)&gt;0,TRUE,"")</f>
        <v>1</v>
      </c>
    </row>
    <row r="18" spans="1:21" x14ac:dyDescent="0.25">
      <c r="A18" s="109" t="s">
        <v>439</v>
      </c>
      <c r="B18" s="109">
        <v>16</v>
      </c>
      <c r="C18" s="110" t="s">
        <v>278</v>
      </c>
      <c r="D18" s="110" t="s">
        <v>332</v>
      </c>
      <c r="E18" s="110" t="s">
        <v>386</v>
      </c>
      <c r="F18" s="111">
        <v>27.301469443443452</v>
      </c>
      <c r="G18" s="111">
        <v>19.344067796610172</v>
      </c>
      <c r="H18" s="111">
        <v>24.132203389830511</v>
      </c>
      <c r="I18" s="112">
        <f>IF(AND(ISNUMBER(F18),ISNUMBER(G18),ISNUMBER(H18)),(65-F18)/((65-F18)+(65-G18)+(65-H18)),"")</f>
        <v>0.3034764521890968</v>
      </c>
      <c r="J18" s="112">
        <f>IF(AND(ISNUMBER(F18),ISNUMBER(G18),ISNUMBER(H18)),(65-G18)/((65-F18)+(65-G18)+(65-H18)),"")</f>
        <v>0.36753422804329761</v>
      </c>
      <c r="K18" s="112">
        <f>IF(AND(ISNUMBER(F18),ISNUMBER(G18),ISNUMBER(H18)),(65-H18)/((65-F18)+(65-G18)+(65-H18)),"")</f>
        <v>0.32898931976760565</v>
      </c>
      <c r="L18" s="113"/>
      <c r="M18" s="114">
        <f>IF(ISNUMBER(I18),(F18*I18*0.5)+(G18*J18*0.5)+(H18*K18*0.5)-4+L18,"")</f>
        <v>7.6670986444017153</v>
      </c>
      <c r="O18" s="107" t="str">
        <f>IF(LEN(A18)&gt;0,A18,"")</f>
        <v>16B</v>
      </c>
      <c r="P18" s="107" t="str">
        <f>IF(LEN(A18)&gt;0,C18,"")</f>
        <v>Scott Rascke</v>
      </c>
      <c r="Q18" s="107" t="str">
        <f>IF(LEN(A18)&gt;2,D18,"")</f>
        <v>Joseph Lang</v>
      </c>
      <c r="R18" s="107" t="str">
        <f>IF(LEN(A18)&gt;2,E18,"")</f>
        <v>Jason Frerich</v>
      </c>
      <c r="S18" s="107">
        <f>IF(LEN(A18)&gt;2,B18,"")</f>
        <v>16</v>
      </c>
      <c r="T18" s="108">
        <f>IF(LEN(A18)&gt;0,M18,"")</f>
        <v>7.6670986444017153</v>
      </c>
      <c r="U18" s="107" t="b">
        <f>IF(LEN(A18)&gt;0,TRUE,"")</f>
        <v>1</v>
      </c>
    </row>
    <row r="19" spans="1:21" x14ac:dyDescent="0.25">
      <c r="A19" s="109" t="s">
        <v>436</v>
      </c>
      <c r="B19" s="109">
        <v>17</v>
      </c>
      <c r="C19" s="110" t="s">
        <v>397</v>
      </c>
      <c r="D19" s="110" t="s">
        <v>398</v>
      </c>
      <c r="E19" s="110" t="s">
        <v>338</v>
      </c>
      <c r="F19" s="111">
        <v>7.8525423728813584</v>
      </c>
      <c r="G19" s="111">
        <v>25.542372881355931</v>
      </c>
      <c r="H19" s="111">
        <v>24.772583356717263</v>
      </c>
      <c r="I19" s="112">
        <f>IF(AND(ISNUMBER(F19),ISNUMBER(G19),ISNUMBER(H19)),(65-F19)/((65-F19)+(65-G19)+(65-H19)),"")</f>
        <v>0.41764534775722345</v>
      </c>
      <c r="J19" s="112">
        <f>IF(AND(ISNUMBER(F19),ISNUMBER(G19),ISNUMBER(H19)),(65-G19)/((65-F19)+(65-G19)+(65-H19)),"")</f>
        <v>0.28836443621283514</v>
      </c>
      <c r="K19" s="112">
        <f>IF(AND(ISNUMBER(F19),ISNUMBER(G19),ISNUMBER(H19)),(65-H19)/((65-F19)+(65-G19)+(65-H19)),"")</f>
        <v>0.29399021602994152</v>
      </c>
      <c r="L19" s="113">
        <v>-3</v>
      </c>
      <c r="M19" s="114">
        <f>IF(ISNUMBER(I19),(F19*I19*0.5)+(G19*J19*0.5)+(H19*K19*0.5)-4+L19,"")</f>
        <v>1.9639934391158107</v>
      </c>
      <c r="O19" s="107" t="str">
        <f>IF(LEN(A19)&gt;0,A19,"")</f>
        <v>17A</v>
      </c>
      <c r="P19" s="107" t="str">
        <f>IF(LEN(A19)&gt;0,C19,"")</f>
        <v>Gary Klaus</v>
      </c>
      <c r="Q19" s="107" t="str">
        <f>IF(LEN(A19)&gt;2,D19,"")</f>
        <v>Madison Bartsch</v>
      </c>
      <c r="R19" s="107" t="str">
        <f>IF(LEN(A19)&gt;2,E19,"")</f>
        <v>Bryson Murphy</v>
      </c>
      <c r="S19" s="107">
        <f>IF(LEN(A19)&gt;2,B19,"")</f>
        <v>17</v>
      </c>
      <c r="T19" s="108">
        <f>IF(LEN(A19)&gt;0,M19,"")</f>
        <v>1.9639934391158107</v>
      </c>
      <c r="U19" s="107" t="b">
        <f>IF(LEN(A19)&gt;0,TRUE,"")</f>
        <v>1</v>
      </c>
    </row>
    <row r="20" spans="1:21" x14ac:dyDescent="0.25">
      <c r="A20" s="109" t="s">
        <v>437</v>
      </c>
      <c r="B20" s="109">
        <v>17</v>
      </c>
      <c r="C20" s="110" t="s">
        <v>333</v>
      </c>
      <c r="D20" s="110" t="s">
        <v>395</v>
      </c>
      <c r="E20" s="110" t="s">
        <v>396</v>
      </c>
      <c r="F20" s="111">
        <v>0.19152542372881629</v>
      </c>
      <c r="G20" s="111">
        <v>33.708474576271186</v>
      </c>
      <c r="H20" s="111">
        <v>33.708474576271186</v>
      </c>
      <c r="I20" s="112">
        <f>IF(AND(ISNUMBER(F20),ISNUMBER(G20),ISNUMBER(H20)),(65-F20)/((65-F20)+(65-G20)+(65-H20)),"")</f>
        <v>0.50873458309495612</v>
      </c>
      <c r="J20" s="112">
        <f>IF(AND(ISNUMBER(F20),ISNUMBER(G20),ISNUMBER(H20)),(65-G20)/((65-F20)+(65-G20)+(65-H20)),"")</f>
        <v>0.24563270845252194</v>
      </c>
      <c r="K20" s="112">
        <f>IF(AND(ISNUMBER(F20),ISNUMBER(G20),ISNUMBER(H20)),(65-H20)/((65-F20)+(65-G20)+(65-H20)),"")</f>
        <v>0.24563270845252194</v>
      </c>
      <c r="L20" s="113">
        <v>-2</v>
      </c>
      <c r="M20" s="114">
        <f>IF(ISNUMBER(I20),(F20*I20*0.5)+(G20*J20*0.5)+(H20*K20*0.5)-4+L20,"")</f>
        <v>2.3286217112688501</v>
      </c>
      <c r="O20" s="107" t="str">
        <f>IF(LEN(A20)&gt;0,A20,"")</f>
        <v>17B</v>
      </c>
      <c r="P20" s="107" t="str">
        <f>IF(LEN(A20)&gt;0,C20,"")</f>
        <v>Bradley Nutt</v>
      </c>
      <c r="Q20" s="107" t="str">
        <f>IF(LEN(A20)&gt;2,D20,"")</f>
        <v>Carter Nutt</v>
      </c>
      <c r="R20" s="107" t="str">
        <f>IF(LEN(A20)&gt;2,E20,"")</f>
        <v>Brian Waneck</v>
      </c>
      <c r="S20" s="107">
        <f>IF(LEN(A20)&gt;2,B20,"")</f>
        <v>17</v>
      </c>
      <c r="T20" s="108">
        <f>IF(LEN(A20)&gt;0,M20,"")</f>
        <v>2.3286217112688501</v>
      </c>
      <c r="U20" s="107" t="b">
        <f>IF(LEN(A20)&gt;0,TRUE,"")</f>
        <v>1</v>
      </c>
    </row>
    <row r="21" spans="1:21" x14ac:dyDescent="0.25">
      <c r="A21" s="109" t="s">
        <v>434</v>
      </c>
      <c r="B21" s="109">
        <v>18</v>
      </c>
      <c r="C21" s="110" t="s">
        <v>393</v>
      </c>
      <c r="D21" s="110" t="s">
        <v>394</v>
      </c>
      <c r="E21" s="110" t="s">
        <v>429</v>
      </c>
      <c r="F21" s="111">
        <v>18.277858480581298</v>
      </c>
      <c r="G21" s="111">
        <v>11.039155507348624</v>
      </c>
      <c r="H21" s="111">
        <v>17.920062283256524</v>
      </c>
      <c r="I21" s="112">
        <f>IF(AND(ISNUMBER(F21),ISNUMBER(G21),ISNUMBER(H21)),(65-F21)/((65-F21)+(65-G21)+(65-H21)),"")</f>
        <v>0.31619665028533778</v>
      </c>
      <c r="J21" s="112">
        <f>IF(AND(ISNUMBER(F21),ISNUMBER(G21),ISNUMBER(H21)),(65-G21)/((65-F21)+(65-G21)+(65-H21)),"")</f>
        <v>0.36518527876238205</v>
      </c>
      <c r="K21" s="112">
        <f>IF(AND(ISNUMBER(F21),ISNUMBER(G21),ISNUMBER(H21)),(65-H21)/((65-F21)+(65-G21)+(65-H21)),"")</f>
        <v>0.31861807095228012</v>
      </c>
      <c r="L21" s="113">
        <v>1</v>
      </c>
      <c r="M21" s="114">
        <f>IF(ISNUMBER(I21),(F21*I21*0.5)+(G21*J21*0.5)+(H21*K21*0.5)-4+L21,"")</f>
        <v>4.760195191618779</v>
      </c>
      <c r="O21" s="107" t="str">
        <f>IF(LEN(A21)&gt;0,A21,"")</f>
        <v>18A</v>
      </c>
      <c r="P21" s="107" t="str">
        <f>IF(LEN(A21)&gt;0,C21,"")</f>
        <v>William Goertz</v>
      </c>
      <c r="Q21" s="107" t="str">
        <f>IF(LEN(A21)&gt;2,D21,"")</f>
        <v>Jason Goertz</v>
      </c>
      <c r="R21" s="107" t="str">
        <f>IF(LEN(A21)&gt;2,E21,"")</f>
        <v>Jacob Ballar</v>
      </c>
      <c r="S21" s="107">
        <f>IF(LEN(A21)&gt;2,B21,"")</f>
        <v>18</v>
      </c>
      <c r="T21" s="108">
        <f>IF(LEN(A21)&gt;0,M21,"")</f>
        <v>4.760195191618779</v>
      </c>
      <c r="U21" s="107" t="b">
        <f>IF(LEN(A21)&gt;0,TRUE,"")</f>
        <v>1</v>
      </c>
    </row>
    <row r="22" spans="1:21" x14ac:dyDescent="0.25">
      <c r="A22" s="109" t="s">
        <v>435</v>
      </c>
      <c r="B22" s="109">
        <v>18</v>
      </c>
      <c r="C22" s="110" t="s">
        <v>339</v>
      </c>
      <c r="D22" s="110" t="s">
        <v>340</v>
      </c>
      <c r="E22" s="110" t="s">
        <v>402</v>
      </c>
      <c r="F22" s="111">
        <v>24.553061666489054</v>
      </c>
      <c r="G22" s="111">
        <v>28.920338983050851</v>
      </c>
      <c r="H22" s="111">
        <v>26.579772990598521</v>
      </c>
      <c r="I22" s="112">
        <f>IF(AND(ISNUMBER(F22),ISNUMBER(G22),ISNUMBER(H22)),(65-F22)/((65-F22)+(65-G22)+(65-H22)),"")</f>
        <v>0.35187520712302728</v>
      </c>
      <c r="J22" s="112">
        <f>IF(AND(ISNUMBER(F22),ISNUMBER(G22),ISNUMBER(H22)),(65-G22)/((65-F22)+(65-G22)+(65-H22)),"")</f>
        <v>0.31388131503513911</v>
      </c>
      <c r="K22" s="112">
        <f>IF(AND(ISNUMBER(F22),ISNUMBER(G22),ISNUMBER(H22)),(65-H22)/((65-F22)+(65-G22)+(65-H22)),"")</f>
        <v>0.33424347784183356</v>
      </c>
      <c r="L22" s="113"/>
      <c r="M22" s="114">
        <f>IF(ISNUMBER(I22),(F22*I22*0.5)+(G22*J22*0.5)+(H22*K22*0.5)-4+L22,"")</f>
        <v>9.300641727643189</v>
      </c>
      <c r="O22" s="107" t="str">
        <f>IF(LEN(A22)&gt;0,A22,"")</f>
        <v>18B</v>
      </c>
      <c r="P22" s="107" t="str">
        <f>IF(LEN(A22)&gt;0,C22,"")</f>
        <v>Michael Goertz</v>
      </c>
      <c r="Q22" s="107" t="str">
        <f>IF(LEN(A22)&gt;2,D22,"")</f>
        <v>Justin Goertz</v>
      </c>
      <c r="R22" s="107" t="str">
        <f>IF(LEN(A22)&gt;2,E22,"")</f>
        <v>Nicholas Goertz</v>
      </c>
      <c r="S22" s="107">
        <f>IF(LEN(A22)&gt;2,B22,"")</f>
        <v>18</v>
      </c>
      <c r="T22" s="108">
        <f>IF(LEN(A22)&gt;0,M22,"")</f>
        <v>9.300641727643189</v>
      </c>
      <c r="U22" s="107" t="b">
        <f>IF(LEN(A22)&gt;0,TRUE,"")</f>
        <v>1</v>
      </c>
    </row>
    <row r="23" spans="1:21" x14ac:dyDescent="0.25">
      <c r="A23" s="109"/>
      <c r="B23" s="109"/>
      <c r="C23" s="110"/>
      <c r="D23" s="110"/>
      <c r="E23" s="110"/>
      <c r="F23" s="111"/>
      <c r="G23" s="111"/>
      <c r="H23" s="111"/>
      <c r="I23" s="112" t="str">
        <f>IF(AND(ISNUMBER(F23),ISNUMBER(G23),ISNUMBER(H23)),(65-F23)/((65-F23)+(65-G23)+(65-H23)),"")</f>
        <v/>
      </c>
      <c r="J23" s="112" t="str">
        <f>IF(AND(ISNUMBER(F23),ISNUMBER(G23),ISNUMBER(H23)),(65-G23)/((65-F23)+(65-G23)+(65-H23)),"")</f>
        <v/>
      </c>
      <c r="K23" s="112" t="str">
        <f>IF(AND(ISNUMBER(F23),ISNUMBER(G23),ISNUMBER(H23)),(65-H23)/((65-F23)+(65-G23)+(65-H23)),"")</f>
        <v/>
      </c>
      <c r="L23" s="113"/>
      <c r="M23" s="114" t="str">
        <f>IF(ISNUMBER(I23),(F23*I23*0.5)+(G23*J23*0.5)+(H23*K23*0.5)-4+L23,"")</f>
        <v/>
      </c>
      <c r="O23" s="107" t="str">
        <f>IF(LEN(A23)&gt;0,A23,"")</f>
        <v/>
      </c>
      <c r="P23" s="107" t="str">
        <f>IF(LEN(A23)&gt;0,C23,"")</f>
        <v/>
      </c>
      <c r="Q23" s="107" t="str">
        <f>IF(LEN(A23)&gt;2,D23,"")</f>
        <v/>
      </c>
      <c r="R23" s="107" t="str">
        <f>IF(LEN(A23)&gt;2,E23,"")</f>
        <v/>
      </c>
      <c r="S23" s="107" t="str">
        <f>IF(LEN(A23)&gt;2,B23,"")</f>
        <v/>
      </c>
      <c r="T23" s="108" t="str">
        <f>IF(LEN(A23)&gt;0,M23,"")</f>
        <v/>
      </c>
      <c r="U23" s="107" t="str">
        <f>IF(LEN(A23)&gt;0,TRUE,"")</f>
        <v/>
      </c>
    </row>
    <row r="24" spans="1:21" x14ac:dyDescent="0.25">
      <c r="A24" s="109"/>
      <c r="B24" s="109"/>
      <c r="C24" s="110"/>
      <c r="D24" s="110"/>
      <c r="E24" s="110"/>
      <c r="F24" s="111"/>
      <c r="G24" s="111"/>
      <c r="H24" s="111"/>
      <c r="I24" s="112" t="str">
        <f>IF(AND(ISNUMBER(F24),ISNUMBER(G24),ISNUMBER(H24)),(65-F24)/((65-F24)+(65-G24)+(65-H24)),"")</f>
        <v/>
      </c>
      <c r="J24" s="112" t="str">
        <f>IF(AND(ISNUMBER(F24),ISNUMBER(G24),ISNUMBER(H24)),(65-G24)/((65-F24)+(65-G24)+(65-H24)),"")</f>
        <v/>
      </c>
      <c r="K24" s="112" t="str">
        <f>IF(AND(ISNUMBER(F24),ISNUMBER(G24),ISNUMBER(H24)),(65-H24)/((65-F24)+(65-G24)+(65-H24)),"")</f>
        <v/>
      </c>
      <c r="L24" s="113"/>
      <c r="M24" s="114" t="str">
        <f>IF(ISNUMBER(I24),(F24*I24*0.5)+(G24*J24*0.5)+(H24*K24*0.5)-4+L24,"")</f>
        <v/>
      </c>
      <c r="O24" s="107" t="str">
        <f>IF(LEN(A24)&gt;0,A24,"")</f>
        <v/>
      </c>
      <c r="P24" s="107" t="str">
        <f>IF(LEN(A24)&gt;0,C24,"")</f>
        <v/>
      </c>
      <c r="Q24" s="107" t="str">
        <f>IF(LEN(A24)&gt;2,D24,"")</f>
        <v/>
      </c>
      <c r="R24" s="107" t="str">
        <f>IF(LEN(A24)&gt;2,E24,"")</f>
        <v/>
      </c>
      <c r="S24" s="107" t="str">
        <f>IF(LEN(A24)&gt;2,B24,"")</f>
        <v/>
      </c>
      <c r="T24" s="108" t="str">
        <f>IF(LEN(A24)&gt;0,M24,"")</f>
        <v/>
      </c>
      <c r="U24" s="107" t="str">
        <f>IF(LEN(A24)&gt;0,TRUE,"")</f>
        <v/>
      </c>
    </row>
    <row r="25" spans="1:21" x14ac:dyDescent="0.25">
      <c r="A25" s="109"/>
      <c r="B25" s="109"/>
      <c r="C25" s="110"/>
      <c r="D25" s="110"/>
      <c r="E25" s="110"/>
      <c r="F25" s="111"/>
      <c r="G25" s="111"/>
      <c r="H25" s="111"/>
      <c r="I25" s="112" t="str">
        <f>IF(AND(ISNUMBER(F25),ISNUMBER(G25),ISNUMBER(H25)),(65-F25)/((65-F25)+(65-G25)+(65-H25)),"")</f>
        <v/>
      </c>
      <c r="J25" s="112" t="str">
        <f>IF(AND(ISNUMBER(F25),ISNUMBER(G25),ISNUMBER(H25)),(65-G25)/((65-F25)+(65-G25)+(65-H25)),"")</f>
        <v/>
      </c>
      <c r="K25" s="112" t="str">
        <f>IF(AND(ISNUMBER(F25),ISNUMBER(G25),ISNUMBER(H25)),(65-H25)/((65-F25)+(65-G25)+(65-H25)),"")</f>
        <v/>
      </c>
      <c r="L25" s="113"/>
      <c r="M25" s="114" t="str">
        <f>IF(ISNUMBER(I25),(F25*I25*0.5)+(G25*J25*0.5)+(H25*K25*0.5)-4+L25,"")</f>
        <v/>
      </c>
      <c r="O25" s="107" t="str">
        <f>IF(LEN(A25)&gt;0,A25,"")</f>
        <v/>
      </c>
      <c r="P25" s="107" t="str">
        <f>IF(LEN(A25)&gt;0,C25,"")</f>
        <v/>
      </c>
      <c r="Q25" s="107" t="str">
        <f>IF(LEN(A25)&gt;2,D25,"")</f>
        <v/>
      </c>
      <c r="R25" s="107" t="str">
        <f>IF(LEN(A25)&gt;2,E25,"")</f>
        <v/>
      </c>
      <c r="S25" s="107" t="str">
        <f>IF(LEN(A25)&gt;2,B25,"")</f>
        <v/>
      </c>
      <c r="T25" s="108" t="str">
        <f>IF(LEN(A25)&gt;0,M25,"")</f>
        <v/>
      </c>
      <c r="U25" s="107" t="str">
        <f>IF(LEN(A25)&gt;0,TRUE,"")</f>
        <v/>
      </c>
    </row>
    <row r="26" spans="1:21" x14ac:dyDescent="0.25">
      <c r="A26" s="109"/>
      <c r="B26" s="109"/>
      <c r="C26" s="110"/>
      <c r="D26" s="110"/>
      <c r="E26" s="110"/>
      <c r="F26" s="111"/>
      <c r="G26" s="111"/>
      <c r="H26" s="111"/>
      <c r="I26" s="112" t="str">
        <f>IF(AND(ISNUMBER(F26),ISNUMBER(G26),ISNUMBER(H26)),(65-F26)/((65-F26)+(65-G26)+(65-H26)),"")</f>
        <v/>
      </c>
      <c r="J26" s="112" t="str">
        <f>IF(AND(ISNUMBER(F26),ISNUMBER(G26),ISNUMBER(H26)),(65-G26)/((65-F26)+(65-G26)+(65-H26)),"")</f>
        <v/>
      </c>
      <c r="K26" s="112" t="str">
        <f>IF(AND(ISNUMBER(F26),ISNUMBER(G26),ISNUMBER(H26)),(65-H26)/((65-F26)+(65-G26)+(65-H26)),"")</f>
        <v/>
      </c>
      <c r="L26" s="113"/>
      <c r="M26" s="114" t="str">
        <f>IF(ISNUMBER(I26),(F26*I26*0.5)+(G26*J26*0.5)+(H26*K26*0.5)-4+L26,"")</f>
        <v/>
      </c>
      <c r="O26" s="107" t="str">
        <f>IF(LEN(A26)&gt;0,A26,"")</f>
        <v/>
      </c>
      <c r="P26" s="107" t="str">
        <f>IF(LEN(A26)&gt;0,C26,"")</f>
        <v/>
      </c>
      <c r="Q26" s="107" t="str">
        <f>IF(LEN(A26)&gt;2,D26,"")</f>
        <v/>
      </c>
      <c r="R26" s="107" t="str">
        <f>IF(LEN(A26)&gt;2,E26,"")</f>
        <v/>
      </c>
      <c r="S26" s="107" t="str">
        <f>IF(LEN(A26)&gt;2,B26,"")</f>
        <v/>
      </c>
      <c r="T26" s="108" t="str">
        <f>IF(LEN(A26)&gt;0,M26,"")</f>
        <v/>
      </c>
      <c r="U26" s="107" t="str">
        <f>IF(LEN(A26)&gt;0,TRUE,"")</f>
        <v/>
      </c>
    </row>
    <row r="27" spans="1:21" x14ac:dyDescent="0.25">
      <c r="A27" s="109"/>
      <c r="B27" s="109"/>
      <c r="C27" s="110"/>
      <c r="D27" s="110"/>
      <c r="E27" s="110"/>
      <c r="F27" s="111"/>
      <c r="G27" s="111"/>
      <c r="H27" s="111"/>
      <c r="I27" s="112" t="str">
        <f>IF(AND(ISNUMBER(F27),ISNUMBER(G27),ISNUMBER(H27)),(65-F27)/((65-F27)+(65-G27)+(65-H27)),"")</f>
        <v/>
      </c>
      <c r="J27" s="112" t="str">
        <f>IF(AND(ISNUMBER(F27),ISNUMBER(G27),ISNUMBER(H27)),(65-G27)/((65-F27)+(65-G27)+(65-H27)),"")</f>
        <v/>
      </c>
      <c r="K27" s="112" t="str">
        <f>IF(AND(ISNUMBER(F27),ISNUMBER(G27),ISNUMBER(H27)),(65-H27)/((65-F27)+(65-G27)+(65-H27)),"")</f>
        <v/>
      </c>
      <c r="L27" s="113"/>
      <c r="M27" s="114" t="str">
        <f>IF(ISNUMBER(I27),(F27*I27*0.5)+(G27*J27*0.5)+(H27*K27*0.5)-4+L27,"")</f>
        <v/>
      </c>
      <c r="O27" s="107" t="str">
        <f>IF(LEN(A27)&gt;0,A27,"")</f>
        <v/>
      </c>
      <c r="P27" s="107" t="str">
        <f>IF(LEN(A27)&gt;0,C27,"")</f>
        <v/>
      </c>
      <c r="Q27" s="107" t="str">
        <f>IF(LEN(A27)&gt;2,D27,"")</f>
        <v/>
      </c>
      <c r="R27" s="107" t="str">
        <f>IF(LEN(A27)&gt;2,E27,"")</f>
        <v/>
      </c>
      <c r="S27" s="107" t="str">
        <f>IF(LEN(A27)&gt;2,B27,"")</f>
        <v/>
      </c>
      <c r="T27" s="108" t="str">
        <f>IF(LEN(A27)&gt;0,M27,"")</f>
        <v/>
      </c>
      <c r="U27" s="107" t="str">
        <f>IF(LEN(A27)&gt;0,TRUE,"")</f>
        <v/>
      </c>
    </row>
    <row r="28" spans="1:21" x14ac:dyDescent="0.25">
      <c r="A28" s="109"/>
      <c r="B28" s="109"/>
      <c r="C28" s="110"/>
      <c r="D28" s="110"/>
      <c r="E28" s="110"/>
      <c r="F28" s="111"/>
      <c r="G28" s="111"/>
      <c r="H28" s="111"/>
      <c r="I28" s="112" t="str">
        <f>IF(AND(ISNUMBER(F28),ISNUMBER(G28),ISNUMBER(H28)),(65-F28)/((65-F28)+(65-G28)+(65-H28)),"")</f>
        <v/>
      </c>
      <c r="J28" s="112" t="str">
        <f>IF(AND(ISNUMBER(F28),ISNUMBER(G28),ISNUMBER(H28)),(65-G28)/((65-F28)+(65-G28)+(65-H28)),"")</f>
        <v/>
      </c>
      <c r="K28" s="112" t="str">
        <f>IF(AND(ISNUMBER(F28),ISNUMBER(G28),ISNUMBER(H28)),(65-H28)/((65-F28)+(65-G28)+(65-H28)),"")</f>
        <v/>
      </c>
      <c r="L28" s="113"/>
      <c r="M28" s="114" t="str">
        <f>IF(ISNUMBER(I28),(F28*I28*0.5)+(G28*J28*0.5)+(H28*K28*0.5)-4+L28,"")</f>
        <v/>
      </c>
      <c r="O28" s="107" t="str">
        <f>IF(LEN(A28)&gt;0,A28,"")</f>
        <v/>
      </c>
      <c r="P28" s="107" t="str">
        <f>IF(LEN(A28)&gt;0,C28,"")</f>
        <v/>
      </c>
      <c r="Q28" s="107" t="str">
        <f>IF(LEN(A28)&gt;2,D28,"")</f>
        <v/>
      </c>
      <c r="R28" s="107" t="str">
        <f>IF(LEN(A28)&gt;2,E28,"")</f>
        <v/>
      </c>
      <c r="S28" s="107" t="str">
        <f>IF(LEN(A28)&gt;2,B28,"")</f>
        <v/>
      </c>
      <c r="T28" s="108" t="str">
        <f>IF(LEN(A28)&gt;0,M28,"")</f>
        <v/>
      </c>
      <c r="U28" s="107" t="str">
        <f>IF(LEN(A28)&gt;0,TRUE,"")</f>
        <v/>
      </c>
    </row>
    <row r="29" spans="1:21" x14ac:dyDescent="0.25">
      <c r="A29" s="109"/>
      <c r="B29" s="109"/>
      <c r="C29" s="110"/>
      <c r="D29" s="110"/>
      <c r="E29" s="110"/>
      <c r="F29" s="111"/>
      <c r="G29" s="111"/>
      <c r="H29" s="111"/>
      <c r="I29" s="112" t="str">
        <f>IF(AND(ISNUMBER(F29),ISNUMBER(G29),ISNUMBER(H29)),(65-F29)/((65-F29)+(65-G29)+(65-H29)),"")</f>
        <v/>
      </c>
      <c r="J29" s="112" t="str">
        <f>IF(AND(ISNUMBER(F29),ISNUMBER(G29),ISNUMBER(H29)),(65-G29)/((65-F29)+(65-G29)+(65-H29)),"")</f>
        <v/>
      </c>
      <c r="K29" s="112" t="str">
        <f>IF(AND(ISNUMBER(F29),ISNUMBER(G29),ISNUMBER(H29)),(65-H29)/((65-F29)+(65-G29)+(65-H29)),"")</f>
        <v/>
      </c>
      <c r="L29" s="113"/>
      <c r="M29" s="114" t="str">
        <f>IF(ISNUMBER(I29),(F29*I29*0.5)+(G29*J29*0.5)+(H29*K29*0.5)-4+L29,"")</f>
        <v/>
      </c>
      <c r="O29" s="107" t="str">
        <f>IF(LEN(A29)&gt;0,A29,"")</f>
        <v/>
      </c>
      <c r="P29" s="107" t="str">
        <f>IF(LEN(A29)&gt;0,C29,"")</f>
        <v/>
      </c>
      <c r="Q29" s="107" t="str">
        <f>IF(LEN(A29)&gt;2,D29,"")</f>
        <v/>
      </c>
      <c r="R29" s="107" t="str">
        <f>IF(LEN(A29)&gt;2,E29,"")</f>
        <v/>
      </c>
      <c r="S29" s="107" t="str">
        <f>IF(LEN(A29)&gt;2,B29,"")</f>
        <v/>
      </c>
      <c r="T29" s="108" t="str">
        <f>IF(LEN(A29)&gt;0,M29,"")</f>
        <v/>
      </c>
      <c r="U29" s="107" t="str">
        <f>IF(LEN(A29)&gt;0,TRUE,"")</f>
        <v/>
      </c>
    </row>
    <row r="30" spans="1:21" x14ac:dyDescent="0.25">
      <c r="A30" s="109"/>
      <c r="B30" s="109"/>
      <c r="C30" s="110"/>
      <c r="D30" s="110"/>
      <c r="E30" s="110"/>
      <c r="F30" s="111"/>
      <c r="G30" s="111"/>
      <c r="H30" s="111"/>
      <c r="I30" s="112" t="str">
        <f>IF(AND(ISNUMBER(F30),ISNUMBER(G30),ISNUMBER(H30)),(65-F30)/((65-F30)+(65-G30)+(65-H30)),"")</f>
        <v/>
      </c>
      <c r="J30" s="112" t="str">
        <f>IF(AND(ISNUMBER(F30),ISNUMBER(G30),ISNUMBER(H30)),(65-G30)/((65-F30)+(65-G30)+(65-H30)),"")</f>
        <v/>
      </c>
      <c r="K30" s="112" t="str">
        <f>IF(AND(ISNUMBER(F30),ISNUMBER(G30),ISNUMBER(H30)),(65-H30)/((65-F30)+(65-G30)+(65-H30)),"")</f>
        <v/>
      </c>
      <c r="L30" s="113"/>
      <c r="M30" s="114" t="str">
        <f>IF(ISNUMBER(I30),(F30*I30*0.5)+(G30*J30*0.5)+(H30*K30*0.5)-4+L30,"")</f>
        <v/>
      </c>
      <c r="O30" s="107" t="str">
        <f>IF(LEN(A30)&gt;0,A30,"")</f>
        <v/>
      </c>
      <c r="P30" s="107" t="str">
        <f>IF(LEN(A30)&gt;0,C30,"")</f>
        <v/>
      </c>
      <c r="Q30" s="107" t="str">
        <f>IF(LEN(A30)&gt;2,D30,"")</f>
        <v/>
      </c>
      <c r="R30" s="107" t="str">
        <f>IF(LEN(A30)&gt;2,E30,"")</f>
        <v/>
      </c>
      <c r="S30" s="107" t="str">
        <f>IF(LEN(A30)&gt;2,B30,"")</f>
        <v/>
      </c>
      <c r="T30" s="108" t="str">
        <f>IF(LEN(A30)&gt;0,M30,"")</f>
        <v/>
      </c>
      <c r="U30" s="107" t="str">
        <f>IF(LEN(A30)&gt;0,TRUE,"")</f>
        <v/>
      </c>
    </row>
    <row r="31" spans="1:21" x14ac:dyDescent="0.25">
      <c r="A31" s="109"/>
      <c r="B31" s="109"/>
      <c r="C31" s="110"/>
      <c r="D31" s="110"/>
      <c r="E31" s="110"/>
      <c r="F31" s="111"/>
      <c r="G31" s="111"/>
      <c r="H31" s="111"/>
      <c r="I31" s="112" t="str">
        <f>IF(AND(ISNUMBER(F31),ISNUMBER(G31),ISNUMBER(H31)),(65-F31)/((65-F31)+(65-G31)+(65-H31)),"")</f>
        <v/>
      </c>
      <c r="J31" s="112" t="str">
        <f>IF(AND(ISNUMBER(F31),ISNUMBER(G31),ISNUMBER(H31)),(65-G31)/((65-F31)+(65-G31)+(65-H31)),"")</f>
        <v/>
      </c>
      <c r="K31" s="112" t="str">
        <f>IF(AND(ISNUMBER(F31),ISNUMBER(G31),ISNUMBER(H31)),(65-H31)/((65-F31)+(65-G31)+(65-H31)),"")</f>
        <v/>
      </c>
      <c r="L31" s="113"/>
      <c r="M31" s="114" t="str">
        <f>IF(ISNUMBER(I31),(F31*I31*0.5)+(G31*J31*0.5)+(H31*K31*0.5)-4+L31,"")</f>
        <v/>
      </c>
      <c r="O31" s="107" t="str">
        <f>IF(LEN(A31)&gt;0,A31,"")</f>
        <v/>
      </c>
      <c r="P31" s="107" t="str">
        <f>IF(LEN(A31)&gt;0,C31,"")</f>
        <v/>
      </c>
      <c r="Q31" s="107" t="str">
        <f>IF(LEN(A31)&gt;2,D31,"")</f>
        <v/>
      </c>
      <c r="R31" s="107" t="str">
        <f>IF(LEN(A31)&gt;2,E31,"")</f>
        <v/>
      </c>
      <c r="S31" s="107" t="str">
        <f>IF(LEN(A31)&gt;2,B31,"")</f>
        <v/>
      </c>
      <c r="T31" s="108" t="str">
        <f>IF(LEN(A31)&gt;0,M31,"")</f>
        <v/>
      </c>
      <c r="U31" s="107" t="str">
        <f>IF(LEN(A31)&gt;0,TRUE,"")</f>
        <v/>
      </c>
    </row>
    <row r="32" spans="1:21" x14ac:dyDescent="0.25">
      <c r="A32" s="109"/>
      <c r="B32" s="109"/>
      <c r="C32" s="110"/>
      <c r="D32" s="110"/>
      <c r="E32" s="110"/>
      <c r="F32" s="111"/>
      <c r="G32" s="111"/>
      <c r="H32" s="111"/>
      <c r="I32" s="112" t="str">
        <f>IF(AND(ISNUMBER(F32),ISNUMBER(G32),ISNUMBER(H32)),(65-F32)/((65-F32)+(65-G32)+(65-H32)),"")</f>
        <v/>
      </c>
      <c r="J32" s="112" t="str">
        <f>IF(AND(ISNUMBER(F32),ISNUMBER(G32),ISNUMBER(H32)),(65-G32)/((65-F32)+(65-G32)+(65-H32)),"")</f>
        <v/>
      </c>
      <c r="K32" s="112" t="str">
        <f>IF(AND(ISNUMBER(F32),ISNUMBER(G32),ISNUMBER(H32)),(65-H32)/((65-F32)+(65-G32)+(65-H32)),"")</f>
        <v/>
      </c>
      <c r="L32" s="113"/>
      <c r="M32" s="114" t="str">
        <f>IF(ISNUMBER(I32),(F32*I32*0.5)+(G32*J32*0.5)+(H32*K32*0.5)-4+L32,"")</f>
        <v/>
      </c>
      <c r="O32" s="107" t="str">
        <f>IF(LEN(A32)&gt;0,A32,"")</f>
        <v/>
      </c>
      <c r="P32" s="107" t="str">
        <f>IF(LEN(A32)&gt;0,C32,"")</f>
        <v/>
      </c>
      <c r="Q32" s="107" t="str">
        <f>IF(LEN(A32)&gt;2,D32,"")</f>
        <v/>
      </c>
      <c r="R32" s="107" t="str">
        <f>IF(LEN(A32)&gt;2,E32,"")</f>
        <v/>
      </c>
      <c r="S32" s="107" t="str">
        <f>IF(LEN(A32)&gt;2,B32,"")</f>
        <v/>
      </c>
      <c r="T32" s="108" t="str">
        <f>IF(LEN(A32)&gt;0,M32,"")</f>
        <v/>
      </c>
      <c r="U32" s="107" t="str">
        <f>IF(LEN(A32)&gt;0,TRUE,"")</f>
        <v/>
      </c>
    </row>
    <row r="33" spans="1:21" x14ac:dyDescent="0.25">
      <c r="A33" s="109"/>
      <c r="B33" s="109"/>
      <c r="C33" s="110"/>
      <c r="D33" s="110"/>
      <c r="E33" s="110"/>
      <c r="F33" s="111"/>
      <c r="G33" s="111"/>
      <c r="H33" s="111"/>
      <c r="I33" s="112" t="str">
        <f>IF(AND(ISNUMBER(F33),ISNUMBER(G33),ISNUMBER(H33)),(65-F33)/((65-F33)+(65-G33)+(65-H33)),"")</f>
        <v/>
      </c>
      <c r="J33" s="112" t="str">
        <f>IF(AND(ISNUMBER(F33),ISNUMBER(G33),ISNUMBER(H33)),(65-G33)/((65-F33)+(65-G33)+(65-H33)),"")</f>
        <v/>
      </c>
      <c r="K33" s="112" t="str">
        <f>IF(AND(ISNUMBER(F33),ISNUMBER(G33),ISNUMBER(H33)),(65-H33)/((65-F33)+(65-G33)+(65-H33)),"")</f>
        <v/>
      </c>
      <c r="L33" s="113"/>
      <c r="M33" s="114" t="str">
        <f>IF(ISNUMBER(I33),(F33*I33*0.5)+(G33*J33*0.5)+(H33*K33*0.5)-4+L33,"")</f>
        <v/>
      </c>
      <c r="O33" s="107" t="str">
        <f>IF(LEN(A33)&gt;0,A33,"")</f>
        <v/>
      </c>
      <c r="P33" s="107" t="str">
        <f>IF(LEN(A33)&gt;0,C33,"")</f>
        <v/>
      </c>
      <c r="Q33" s="107" t="str">
        <f>IF(LEN(A33)&gt;2,D33,"")</f>
        <v/>
      </c>
      <c r="R33" s="107" t="str">
        <f>IF(LEN(A33)&gt;2,E33,"")</f>
        <v/>
      </c>
      <c r="S33" s="107" t="str">
        <f>IF(LEN(A33)&gt;2,B33,"")</f>
        <v/>
      </c>
      <c r="T33" s="108" t="str">
        <f>IF(LEN(A33)&gt;0,M33,"")</f>
        <v/>
      </c>
      <c r="U33" s="107" t="str">
        <f>IF(LEN(A33)&gt;0,TRUE,"")</f>
        <v/>
      </c>
    </row>
    <row r="34" spans="1:21" x14ac:dyDescent="0.25">
      <c r="A34" s="109"/>
      <c r="B34" s="109"/>
      <c r="C34" s="110"/>
      <c r="D34" s="110"/>
      <c r="E34" s="110"/>
      <c r="F34" s="111"/>
      <c r="G34" s="111"/>
      <c r="H34" s="111"/>
      <c r="I34" s="112" t="str">
        <f>IF(AND(ISNUMBER(F34),ISNUMBER(G34),ISNUMBER(H34)),(65-F34)/((65-F34)+(65-G34)+(65-H34)),"")</f>
        <v/>
      </c>
      <c r="J34" s="112" t="str">
        <f>IF(AND(ISNUMBER(F34),ISNUMBER(G34),ISNUMBER(H34)),(65-G34)/((65-F34)+(65-G34)+(65-H34)),"")</f>
        <v/>
      </c>
      <c r="K34" s="112" t="str">
        <f>IF(AND(ISNUMBER(F34),ISNUMBER(G34),ISNUMBER(H34)),(65-H34)/((65-F34)+(65-G34)+(65-H34)),"")</f>
        <v/>
      </c>
      <c r="L34" s="113"/>
      <c r="M34" s="114" t="str">
        <f>IF(ISNUMBER(I34),(F34*I34*0.5)+(G34*J34*0.5)+(H34*K34*0.5)-4+L34,"")</f>
        <v/>
      </c>
      <c r="O34" s="107" t="str">
        <f>IF(LEN(A34)&gt;0,A34,"")</f>
        <v/>
      </c>
      <c r="P34" s="107" t="str">
        <f>IF(LEN(A34)&gt;0,C34,"")</f>
        <v/>
      </c>
      <c r="Q34" s="107" t="str">
        <f>IF(LEN(A34)&gt;2,D34,"")</f>
        <v/>
      </c>
      <c r="R34" s="107" t="str">
        <f>IF(LEN(A34)&gt;2,E34,"")</f>
        <v/>
      </c>
      <c r="S34" s="107" t="str">
        <f>IF(LEN(A34)&gt;2,B34,"")</f>
        <v/>
      </c>
      <c r="T34" s="108" t="str">
        <f>IF(LEN(A34)&gt;0,M34,"")</f>
        <v/>
      </c>
      <c r="U34" s="107" t="str">
        <f>IF(LEN(A34)&gt;0,TRUE,"")</f>
        <v/>
      </c>
    </row>
    <row r="35" spans="1:21" x14ac:dyDescent="0.25">
      <c r="A35" s="109"/>
      <c r="B35" s="109"/>
      <c r="C35" s="110"/>
      <c r="D35" s="110"/>
      <c r="E35" s="110"/>
      <c r="F35" s="111"/>
      <c r="G35" s="111"/>
      <c r="H35" s="111"/>
      <c r="I35" s="112" t="str">
        <f>IF(AND(ISNUMBER(F35),ISNUMBER(G35),ISNUMBER(H35)),(65-F35)/((65-F35)+(65-G35)+(65-H35)),"")</f>
        <v/>
      </c>
      <c r="J35" s="112" t="str">
        <f>IF(AND(ISNUMBER(F35),ISNUMBER(G35),ISNUMBER(H35)),(65-G35)/((65-F35)+(65-G35)+(65-H35)),"")</f>
        <v/>
      </c>
      <c r="K35" s="112" t="str">
        <f>IF(AND(ISNUMBER(F35),ISNUMBER(G35),ISNUMBER(H35)),(65-H35)/((65-F35)+(65-G35)+(65-H35)),"")</f>
        <v/>
      </c>
      <c r="L35" s="113"/>
      <c r="M35" s="114" t="str">
        <f>IF(ISNUMBER(I35),(F35*I35*0.5)+(G35*J35*0.5)+(H35*K35*0.5)-4+L35,"")</f>
        <v/>
      </c>
      <c r="O35" s="107" t="str">
        <f>IF(LEN(A35)&gt;0,A35,"")</f>
        <v/>
      </c>
      <c r="P35" s="107" t="str">
        <f>IF(LEN(A35)&gt;0,C35,"")</f>
        <v/>
      </c>
      <c r="Q35" s="107" t="str">
        <f>IF(LEN(A35)&gt;2,D35,"")</f>
        <v/>
      </c>
      <c r="R35" s="107" t="str">
        <f>IF(LEN(A35)&gt;2,E35,"")</f>
        <v/>
      </c>
      <c r="S35" s="107" t="str">
        <f>IF(LEN(A35)&gt;2,B35,"")</f>
        <v/>
      </c>
      <c r="T35" s="108" t="str">
        <f>IF(LEN(A35)&gt;0,M35,"")</f>
        <v/>
      </c>
      <c r="U35" s="107" t="str">
        <f>IF(LEN(A35)&gt;0,TRUE,"")</f>
        <v/>
      </c>
    </row>
    <row r="36" spans="1:21" x14ac:dyDescent="0.25">
      <c r="A36" s="109"/>
      <c r="B36" s="109"/>
      <c r="C36" s="110"/>
      <c r="D36" s="110"/>
      <c r="E36" s="110"/>
      <c r="F36" s="111"/>
      <c r="G36" s="111"/>
      <c r="H36" s="111"/>
      <c r="I36" s="112" t="str">
        <f>IF(AND(ISNUMBER(F36),ISNUMBER(G36),ISNUMBER(H36)),(65-F36)/((65-F36)+(65-G36)+(65-H36)),"")</f>
        <v/>
      </c>
      <c r="J36" s="112" t="str">
        <f>IF(AND(ISNUMBER(F36),ISNUMBER(G36),ISNUMBER(H36)),(65-G36)/((65-F36)+(65-G36)+(65-H36)),"")</f>
        <v/>
      </c>
      <c r="K36" s="112" t="str">
        <f>IF(AND(ISNUMBER(F36),ISNUMBER(G36),ISNUMBER(H36)),(65-H36)/((65-F36)+(65-G36)+(65-H36)),"")</f>
        <v/>
      </c>
      <c r="L36" s="113"/>
      <c r="M36" s="114" t="str">
        <f>IF(ISNUMBER(I36),(F36*I36*0.5)+(G36*J36*0.5)+(H36*K36*0.5)-4+L36,"")</f>
        <v/>
      </c>
      <c r="O36" s="107" t="str">
        <f>IF(LEN(A36)&gt;0,A36,"")</f>
        <v/>
      </c>
      <c r="P36" s="107" t="str">
        <f>IF(LEN(A36)&gt;0,C36,"")</f>
        <v/>
      </c>
      <c r="Q36" s="107" t="str">
        <f>IF(LEN(A36)&gt;2,D36,"")</f>
        <v/>
      </c>
      <c r="R36" s="107" t="str">
        <f>IF(LEN(A36)&gt;2,E36,"")</f>
        <v/>
      </c>
      <c r="S36" s="107" t="str">
        <f>IF(LEN(A36)&gt;2,B36,"")</f>
        <v/>
      </c>
      <c r="T36" s="108" t="str">
        <f>IF(LEN(A36)&gt;0,M36,"")</f>
        <v/>
      </c>
      <c r="U36" s="107" t="str">
        <f>IF(LEN(A36)&gt;0,TRUE,"")</f>
        <v/>
      </c>
    </row>
    <row r="37" spans="1:21" x14ac:dyDescent="0.25">
      <c r="A37" s="109"/>
      <c r="B37" s="109"/>
      <c r="C37" s="110"/>
      <c r="D37" s="110"/>
      <c r="E37" s="110"/>
      <c r="F37" s="111"/>
      <c r="G37" s="111"/>
      <c r="H37" s="111"/>
      <c r="I37" s="112" t="str">
        <f>IF(AND(ISNUMBER(F37),ISNUMBER(G37),ISNUMBER(H37)),(65-F37)/((65-F37)+(65-G37)+(65-H37)),"")</f>
        <v/>
      </c>
      <c r="J37" s="112" t="str">
        <f>IF(AND(ISNUMBER(F37),ISNUMBER(G37),ISNUMBER(H37)),(65-G37)/((65-F37)+(65-G37)+(65-H37)),"")</f>
        <v/>
      </c>
      <c r="K37" s="112" t="str">
        <f>IF(AND(ISNUMBER(F37),ISNUMBER(G37),ISNUMBER(H37)),(65-H37)/((65-F37)+(65-G37)+(65-H37)),"")</f>
        <v/>
      </c>
      <c r="L37" s="113"/>
      <c r="M37" s="114" t="str">
        <f>IF(ISNUMBER(I37),(F37*I37*0.5)+(G37*J37*0.5)+(H37*K37*0.5)-4+L37,"")</f>
        <v/>
      </c>
      <c r="O37" s="107" t="str">
        <f>IF(LEN(A37)&gt;0,A37,"")</f>
        <v/>
      </c>
      <c r="P37" s="107" t="str">
        <f>IF(LEN(A37)&gt;0,C37,"")</f>
        <v/>
      </c>
      <c r="Q37" s="107" t="str">
        <f>IF(LEN(A37)&gt;2,D37,"")</f>
        <v/>
      </c>
      <c r="R37" s="107" t="str">
        <f>IF(LEN(A37)&gt;2,E37,"")</f>
        <v/>
      </c>
      <c r="S37" s="107" t="str">
        <f>IF(LEN(A37)&gt;2,B37,"")</f>
        <v/>
      </c>
      <c r="T37" s="108" t="str">
        <f>IF(LEN(A37)&gt;0,M37,"")</f>
        <v/>
      </c>
      <c r="U37" s="107" t="str">
        <f>IF(LEN(A37)&gt;0,TRUE,"")</f>
        <v/>
      </c>
    </row>
    <row r="38" spans="1:21" x14ac:dyDescent="0.25">
      <c r="A38" s="109"/>
      <c r="B38" s="109"/>
      <c r="C38" s="110"/>
      <c r="D38" s="110"/>
      <c r="E38" s="110"/>
      <c r="F38" s="111"/>
      <c r="G38" s="111"/>
      <c r="H38" s="111"/>
      <c r="I38" s="112" t="str">
        <f>IF(AND(ISNUMBER(F38),ISNUMBER(G38),ISNUMBER(H38)),(65-F38)/((65-F38)+(65-G38)+(65-H38)),"")</f>
        <v/>
      </c>
      <c r="J38" s="112" t="str">
        <f>IF(AND(ISNUMBER(F38),ISNUMBER(G38),ISNUMBER(H38)),(65-G38)/((65-F38)+(65-G38)+(65-H38)),"")</f>
        <v/>
      </c>
      <c r="K38" s="112" t="str">
        <f>IF(AND(ISNUMBER(F38),ISNUMBER(G38),ISNUMBER(H38)),(65-H38)/((65-F38)+(65-G38)+(65-H38)),"")</f>
        <v/>
      </c>
      <c r="L38" s="113"/>
      <c r="M38" s="114" t="str">
        <f>IF(ISNUMBER(I38),(F38*I38*0.5)+(G38*J38*0.5)+(H38*K38*0.5)-4+L38,"")</f>
        <v/>
      </c>
      <c r="O38" s="107" t="str">
        <f>IF(LEN(A38)&gt;0,A38,"")</f>
        <v/>
      </c>
      <c r="P38" s="107" t="str">
        <f>IF(LEN(A38)&gt;0,C38,"")</f>
        <v/>
      </c>
      <c r="Q38" s="107" t="str">
        <f>IF(LEN(A38)&gt;2,D38,"")</f>
        <v/>
      </c>
      <c r="R38" s="107" t="str">
        <f>IF(LEN(A38)&gt;2,E38,"")</f>
        <v/>
      </c>
      <c r="S38" s="107" t="str">
        <f>IF(LEN(A38)&gt;2,B38,"")</f>
        <v/>
      </c>
      <c r="T38" s="108" t="str">
        <f>IF(LEN(A38)&gt;0,M38,"")</f>
        <v/>
      </c>
      <c r="U38" s="107" t="str">
        <f>IF(LEN(A38)&gt;0,TRUE,"")</f>
        <v/>
      </c>
    </row>
    <row r="39" spans="1:21" x14ac:dyDescent="0.25">
      <c r="A39" s="109"/>
      <c r="B39" s="109"/>
      <c r="C39" s="110"/>
      <c r="D39" s="110"/>
      <c r="E39" s="110"/>
      <c r="F39" s="111"/>
      <c r="G39" s="111"/>
      <c r="H39" s="111"/>
      <c r="I39" s="112" t="str">
        <f>IF(AND(ISNUMBER(F39),ISNUMBER(G39),ISNUMBER(H39)),(65-F39)/((65-F39)+(65-G39)+(65-H39)),"")</f>
        <v/>
      </c>
      <c r="J39" s="112" t="str">
        <f>IF(AND(ISNUMBER(F39),ISNUMBER(G39),ISNUMBER(H39)),(65-G39)/((65-F39)+(65-G39)+(65-H39)),"")</f>
        <v/>
      </c>
      <c r="K39" s="112" t="str">
        <f>IF(AND(ISNUMBER(F39),ISNUMBER(G39),ISNUMBER(H39)),(65-H39)/((65-F39)+(65-G39)+(65-H39)),"")</f>
        <v/>
      </c>
      <c r="L39" s="113"/>
      <c r="M39" s="114" t="str">
        <f>IF(ISNUMBER(I39),(F39*I39*0.5)+(G39*J39*0.5)+(H39*K39*0.5)-4+L39,"")</f>
        <v/>
      </c>
      <c r="O39" s="107" t="str">
        <f>IF(LEN(A39)&gt;0,A39,"")</f>
        <v/>
      </c>
      <c r="P39" s="107" t="str">
        <f>IF(LEN(A39)&gt;0,C39,"")</f>
        <v/>
      </c>
      <c r="Q39" s="107" t="str">
        <f>IF(LEN(A39)&gt;2,D39,"")</f>
        <v/>
      </c>
      <c r="R39" s="107" t="str">
        <f>IF(LEN(A39)&gt;2,E39,"")</f>
        <v/>
      </c>
      <c r="S39" s="107" t="str">
        <f>IF(LEN(A39)&gt;2,B39,"")</f>
        <v/>
      </c>
      <c r="T39" s="108" t="str">
        <f>IF(LEN(A39)&gt;0,M39,"")</f>
        <v/>
      </c>
      <c r="U39" s="107" t="str">
        <f>IF(LEN(A39)&gt;0,TRUE,"")</f>
        <v/>
      </c>
    </row>
    <row r="40" spans="1:21" x14ac:dyDescent="0.25">
      <c r="A40" s="109"/>
      <c r="B40" s="109"/>
      <c r="C40" s="110"/>
      <c r="D40" s="110"/>
      <c r="E40" s="110"/>
      <c r="F40" s="111"/>
      <c r="G40" s="111"/>
      <c r="H40" s="111"/>
      <c r="I40" s="112" t="str">
        <f>IF(AND(ISNUMBER(F40),ISNUMBER(G40),ISNUMBER(H40)),(65-F40)/((65-F40)+(65-G40)+(65-H40)),"")</f>
        <v/>
      </c>
      <c r="J40" s="112" t="str">
        <f>IF(AND(ISNUMBER(F40),ISNUMBER(G40),ISNUMBER(H40)),(65-G40)/((65-F40)+(65-G40)+(65-H40)),"")</f>
        <v/>
      </c>
      <c r="K40" s="112" t="str">
        <f>IF(AND(ISNUMBER(F40),ISNUMBER(G40),ISNUMBER(H40)),(65-H40)/((65-F40)+(65-G40)+(65-H40)),"")</f>
        <v/>
      </c>
      <c r="L40" s="113"/>
      <c r="M40" s="114" t="str">
        <f>IF(ISNUMBER(I40),(F40*I40*0.5)+(G40*J40*0.5)+(H40*K40*0.5)-4+L40,"")</f>
        <v/>
      </c>
      <c r="O40" s="107" t="str">
        <f>IF(LEN(A40)&gt;0,A40,"")</f>
        <v/>
      </c>
      <c r="P40" s="107" t="str">
        <f>IF(LEN(A40)&gt;0,C40,"")</f>
        <v/>
      </c>
      <c r="Q40" s="107" t="str">
        <f>IF(LEN(A40)&gt;2,D40,"")</f>
        <v/>
      </c>
      <c r="R40" s="107" t="str">
        <f>IF(LEN(A40)&gt;2,E40,"")</f>
        <v/>
      </c>
      <c r="S40" s="107" t="str">
        <f>IF(LEN(A40)&gt;2,B40,"")</f>
        <v/>
      </c>
      <c r="T40" s="108" t="str">
        <f>IF(LEN(A40)&gt;0,M40,"")</f>
        <v/>
      </c>
      <c r="U40" s="107" t="str">
        <f>IF(LEN(A40)&gt;0,TRUE,"")</f>
        <v/>
      </c>
    </row>
    <row r="41" spans="1:21" x14ac:dyDescent="0.25">
      <c r="A41" s="109"/>
      <c r="B41" s="109"/>
      <c r="C41" s="110"/>
      <c r="D41" s="110"/>
      <c r="E41" s="110"/>
      <c r="F41" s="111"/>
      <c r="G41" s="111"/>
      <c r="H41" s="111"/>
      <c r="I41" s="112" t="str">
        <f>IF(AND(ISNUMBER(F41),ISNUMBER(G41),ISNUMBER(H41)),(65-F41)/((65-F41)+(65-G41)+(65-H41)),"")</f>
        <v/>
      </c>
      <c r="J41" s="112" t="str">
        <f>IF(AND(ISNUMBER(F41),ISNUMBER(G41),ISNUMBER(H41)),(65-G41)/((65-F41)+(65-G41)+(65-H41)),"")</f>
        <v/>
      </c>
      <c r="K41" s="112" t="str">
        <f>IF(AND(ISNUMBER(F41),ISNUMBER(G41),ISNUMBER(H41)),(65-H41)/((65-F41)+(65-G41)+(65-H41)),"")</f>
        <v/>
      </c>
      <c r="L41" s="113"/>
      <c r="M41" s="114" t="str">
        <f>IF(ISNUMBER(I41),(F41*I41*0.5)+(G41*J41*0.5)+(H41*K41*0.5)-4+L41,"")</f>
        <v/>
      </c>
      <c r="O41" s="107" t="str">
        <f>IF(LEN(A41)&gt;0,A41,"")</f>
        <v/>
      </c>
      <c r="P41" s="107" t="str">
        <f>IF(LEN(A41)&gt;0,C41,"")</f>
        <v/>
      </c>
      <c r="Q41" s="107" t="str">
        <f>IF(LEN(A41)&gt;2,D41,"")</f>
        <v/>
      </c>
      <c r="R41" s="107" t="str">
        <f>IF(LEN(A41)&gt;2,E41,"")</f>
        <v/>
      </c>
      <c r="S41" s="107" t="str">
        <f>IF(LEN(A41)&gt;2,B41,"")</f>
        <v/>
      </c>
      <c r="T41" s="108" t="str">
        <f>IF(LEN(A41)&gt;0,M41,"")</f>
        <v/>
      </c>
      <c r="U41" s="107" t="str">
        <f>IF(LEN(A41)&gt;0,TRUE,"")</f>
        <v/>
      </c>
    </row>
    <row r="42" spans="1:21" x14ac:dyDescent="0.25">
      <c r="A42" s="109"/>
      <c r="B42" s="109"/>
      <c r="C42" s="110"/>
      <c r="D42" s="110"/>
      <c r="E42" s="110"/>
      <c r="F42" s="111"/>
      <c r="G42" s="111"/>
      <c r="H42" s="111"/>
      <c r="I42" s="112" t="str">
        <f>IF(AND(ISNUMBER(F42),ISNUMBER(G42),ISNUMBER(H42)),(65-F42)/((65-F42)+(65-G42)+(65-H42)),"")</f>
        <v/>
      </c>
      <c r="J42" s="112" t="str">
        <f>IF(AND(ISNUMBER(F42),ISNUMBER(G42),ISNUMBER(H42)),(65-G42)/((65-F42)+(65-G42)+(65-H42)),"")</f>
        <v/>
      </c>
      <c r="K42" s="112" t="str">
        <f>IF(AND(ISNUMBER(F42),ISNUMBER(G42),ISNUMBER(H42)),(65-H42)/((65-F42)+(65-G42)+(65-H42)),"")</f>
        <v/>
      </c>
      <c r="L42" s="113"/>
      <c r="M42" s="114" t="str">
        <f>IF(ISNUMBER(I42),(F42*I42*0.5)+(G42*J42*0.5)+(H42*K42*0.5)-4+L42,"")</f>
        <v/>
      </c>
      <c r="O42" s="107" t="str">
        <f>IF(LEN(A42)&gt;0,A42,"")</f>
        <v/>
      </c>
      <c r="P42" s="107" t="str">
        <f>IF(LEN(A42)&gt;0,C42,"")</f>
        <v/>
      </c>
      <c r="Q42" s="107" t="str">
        <f>IF(LEN(A42)&gt;2,D42,"")</f>
        <v/>
      </c>
      <c r="R42" s="107" t="str">
        <f>IF(LEN(A42)&gt;2,E42,"")</f>
        <v/>
      </c>
      <c r="S42" s="107" t="str">
        <f>IF(LEN(A42)&gt;2,B42,"")</f>
        <v/>
      </c>
      <c r="T42" s="108" t="str">
        <f>IF(LEN(A42)&gt;0,M42,"")</f>
        <v/>
      </c>
      <c r="U42" s="107" t="str">
        <f>IF(LEN(A42)&gt;0,TRUE,"")</f>
        <v/>
      </c>
    </row>
    <row r="43" spans="1:21" x14ac:dyDescent="0.25">
      <c r="A43" s="109"/>
      <c r="B43" s="109"/>
      <c r="C43" s="110"/>
      <c r="D43" s="110"/>
      <c r="E43" s="110"/>
      <c r="F43" s="111"/>
      <c r="G43" s="111"/>
      <c r="H43" s="111"/>
      <c r="I43" s="112" t="str">
        <f>IF(AND(ISNUMBER(F43),ISNUMBER(G43),ISNUMBER(H43)),(65-F43)/((65-F43)+(65-G43)+(65-H43)),"")</f>
        <v/>
      </c>
      <c r="J43" s="112" t="str">
        <f>IF(AND(ISNUMBER(F43),ISNUMBER(G43),ISNUMBER(H43)),(65-G43)/((65-F43)+(65-G43)+(65-H43)),"")</f>
        <v/>
      </c>
      <c r="K43" s="112" t="str">
        <f>IF(AND(ISNUMBER(F43),ISNUMBER(G43),ISNUMBER(H43)),(65-H43)/((65-F43)+(65-G43)+(65-H43)),"")</f>
        <v/>
      </c>
      <c r="L43" s="113"/>
      <c r="M43" s="114" t="str">
        <f>IF(ISNUMBER(I43),(F43*I43*0.5)+(G43*J43*0.5)+(H43*K43*0.5)-4+L43,"")</f>
        <v/>
      </c>
      <c r="O43" s="107" t="str">
        <f>IF(LEN(A43)&gt;0,A43,"")</f>
        <v/>
      </c>
      <c r="P43" s="107" t="str">
        <f>IF(LEN(A43)&gt;0,C43,"")</f>
        <v/>
      </c>
      <c r="Q43" s="107" t="str">
        <f>IF(LEN(A43)&gt;2,D43,"")</f>
        <v/>
      </c>
      <c r="R43" s="107" t="str">
        <f>IF(LEN(A43)&gt;2,E43,"")</f>
        <v/>
      </c>
      <c r="S43" s="107" t="str">
        <f>IF(LEN(A43)&gt;2,B43,"")</f>
        <v/>
      </c>
      <c r="T43" s="108" t="str">
        <f>IF(LEN(A43)&gt;0,M43,"")</f>
        <v/>
      </c>
      <c r="U43" s="107" t="str">
        <f>IF(LEN(A43)&gt;0,TRUE,"")</f>
        <v/>
      </c>
    </row>
    <row r="44" spans="1:21" x14ac:dyDescent="0.25">
      <c r="A44" s="109"/>
      <c r="B44" s="109"/>
      <c r="C44" s="110"/>
      <c r="D44" s="110"/>
      <c r="E44" s="110"/>
      <c r="F44" s="111"/>
      <c r="G44" s="111"/>
      <c r="H44" s="111"/>
      <c r="I44" s="112" t="str">
        <f>IF(AND(ISNUMBER(F44),ISNUMBER(G44),ISNUMBER(H44)),(65-F44)/((65-F44)+(65-G44)+(65-H44)),"")</f>
        <v/>
      </c>
      <c r="J44" s="112" t="str">
        <f>IF(AND(ISNUMBER(F44),ISNUMBER(G44),ISNUMBER(H44)),(65-G44)/((65-F44)+(65-G44)+(65-H44)),"")</f>
        <v/>
      </c>
      <c r="K44" s="112" t="str">
        <f>IF(AND(ISNUMBER(F44),ISNUMBER(G44),ISNUMBER(H44)),(65-H44)/((65-F44)+(65-G44)+(65-H44)),"")</f>
        <v/>
      </c>
      <c r="L44" s="113"/>
      <c r="M44" s="114" t="str">
        <f>IF(ISNUMBER(I44),(F44*I44*0.5)+(G44*J44*0.5)+(H44*K44*0.5)-4+L44,"")</f>
        <v/>
      </c>
      <c r="O44" s="107" t="str">
        <f>IF(LEN(A44)&gt;0,A44,"")</f>
        <v/>
      </c>
      <c r="P44" s="107" t="str">
        <f>IF(LEN(A44)&gt;0,C44,"")</f>
        <v/>
      </c>
      <c r="Q44" s="107" t="str">
        <f>IF(LEN(A44)&gt;2,D44,"")</f>
        <v/>
      </c>
      <c r="R44" s="107" t="str">
        <f>IF(LEN(A44)&gt;2,E44,"")</f>
        <v/>
      </c>
      <c r="S44" s="107" t="str">
        <f>IF(LEN(A44)&gt;2,B44,"")</f>
        <v/>
      </c>
      <c r="T44" s="108" t="str">
        <f>IF(LEN(A44)&gt;0,M44,"")</f>
        <v/>
      </c>
      <c r="U44" s="107" t="str">
        <f>IF(LEN(A44)&gt;0,TRUE,"")</f>
        <v/>
      </c>
    </row>
    <row r="45" spans="1:21" x14ac:dyDescent="0.25">
      <c r="A45" s="109"/>
      <c r="B45" s="109"/>
      <c r="C45" s="110"/>
      <c r="D45" s="110"/>
      <c r="E45" s="110"/>
      <c r="F45" s="111"/>
      <c r="G45" s="111"/>
      <c r="H45" s="111"/>
      <c r="I45" s="112" t="str">
        <f>IF(AND(ISNUMBER(F45),ISNUMBER(G45),ISNUMBER(H45)),(65-F45)/((65-F45)+(65-G45)+(65-H45)),"")</f>
        <v/>
      </c>
      <c r="J45" s="112" t="str">
        <f>IF(AND(ISNUMBER(F45),ISNUMBER(G45),ISNUMBER(H45)),(65-G45)/((65-F45)+(65-G45)+(65-H45)),"")</f>
        <v/>
      </c>
      <c r="K45" s="112" t="str">
        <f>IF(AND(ISNUMBER(F45),ISNUMBER(G45),ISNUMBER(H45)),(65-H45)/((65-F45)+(65-G45)+(65-H45)),"")</f>
        <v/>
      </c>
      <c r="L45" s="113"/>
      <c r="M45" s="114" t="str">
        <f>IF(ISNUMBER(I45),(F45*I45*0.5)+(G45*J45*0.5)+(H45*K45*0.5)-4+L45,"")</f>
        <v/>
      </c>
      <c r="O45" s="107" t="str">
        <f>IF(LEN(A45)&gt;0,A45,"")</f>
        <v/>
      </c>
      <c r="P45" s="107" t="str">
        <f>IF(LEN(A45)&gt;0,C45,"")</f>
        <v/>
      </c>
      <c r="Q45" s="107" t="str">
        <f>IF(LEN(A45)&gt;2,D45,"")</f>
        <v/>
      </c>
      <c r="R45" s="107" t="str">
        <f>IF(LEN(A45)&gt;2,E45,"")</f>
        <v/>
      </c>
      <c r="S45" s="107" t="str">
        <f>IF(LEN(A45)&gt;2,B45,"")</f>
        <v/>
      </c>
      <c r="T45" s="108" t="str">
        <f>IF(LEN(A45)&gt;0,M45,"")</f>
        <v/>
      </c>
      <c r="U45" s="107" t="str">
        <f>IF(LEN(A45)&gt;0,TRUE,"")</f>
        <v/>
      </c>
    </row>
    <row r="46" spans="1:21" x14ac:dyDescent="0.25">
      <c r="A46" s="109"/>
      <c r="B46" s="109"/>
      <c r="C46" s="110"/>
      <c r="D46" s="110"/>
      <c r="E46" s="110"/>
      <c r="F46" s="111"/>
      <c r="G46" s="111"/>
      <c r="H46" s="111"/>
      <c r="I46" s="112" t="str">
        <f>IF(AND(ISNUMBER(F46),ISNUMBER(G46),ISNUMBER(H46)),(65-F46)/((65-F46)+(65-G46)+(65-H46)),"")</f>
        <v/>
      </c>
      <c r="J46" s="112" t="str">
        <f>IF(AND(ISNUMBER(F46),ISNUMBER(G46),ISNUMBER(H46)),(65-G46)/((65-F46)+(65-G46)+(65-H46)),"")</f>
        <v/>
      </c>
      <c r="K46" s="112" t="str">
        <f>IF(AND(ISNUMBER(F46),ISNUMBER(G46),ISNUMBER(H46)),(65-H46)/((65-F46)+(65-G46)+(65-H46)),"")</f>
        <v/>
      </c>
      <c r="L46" s="113"/>
      <c r="M46" s="114" t="str">
        <f>IF(ISNUMBER(I46),(F46*I46*0.5)+(G46*J46*0.5)+(H46*K46*0.5)-4+L46,"")</f>
        <v/>
      </c>
      <c r="O46" s="107" t="str">
        <f>IF(LEN(A46)&gt;0,A46,"")</f>
        <v/>
      </c>
      <c r="P46" s="107" t="str">
        <f>IF(LEN(A46)&gt;0,C46,"")</f>
        <v/>
      </c>
      <c r="Q46" s="107" t="str">
        <f>IF(LEN(A46)&gt;2,D46,"")</f>
        <v/>
      </c>
      <c r="R46" s="107" t="str">
        <f>IF(LEN(A46)&gt;2,E46,"")</f>
        <v/>
      </c>
      <c r="S46" s="107" t="str">
        <f>IF(LEN(A46)&gt;2,B46,"")</f>
        <v/>
      </c>
      <c r="T46" s="108" t="str">
        <f>IF(LEN(A46)&gt;0,M46,"")</f>
        <v/>
      </c>
      <c r="U46" s="107" t="str">
        <f>IF(LEN(A46)&gt;0,TRUE,"")</f>
        <v/>
      </c>
    </row>
    <row r="47" spans="1:21" x14ac:dyDescent="0.25">
      <c r="A47" s="109"/>
      <c r="B47" s="109"/>
      <c r="C47" s="110"/>
      <c r="D47" s="110"/>
      <c r="E47" s="110"/>
      <c r="F47" s="111"/>
      <c r="G47" s="111"/>
      <c r="H47" s="111"/>
      <c r="I47" s="112" t="str">
        <f>IF(AND(ISNUMBER(F47),ISNUMBER(G47),ISNUMBER(H47)),(65-F47)/((65-F47)+(65-G47)+(65-H47)),"")</f>
        <v/>
      </c>
      <c r="J47" s="112" t="str">
        <f>IF(AND(ISNUMBER(F47),ISNUMBER(G47),ISNUMBER(H47)),(65-G47)/((65-F47)+(65-G47)+(65-H47)),"")</f>
        <v/>
      </c>
      <c r="K47" s="112" t="str">
        <f>IF(AND(ISNUMBER(F47),ISNUMBER(G47),ISNUMBER(H47)),(65-H47)/((65-F47)+(65-G47)+(65-H47)),"")</f>
        <v/>
      </c>
      <c r="L47" s="113"/>
      <c r="M47" s="114" t="str">
        <f>IF(ISNUMBER(I47),(F47*I47*0.5)+(G47*J47*0.5)+(H47*K47*0.5)-4+L47,"")</f>
        <v/>
      </c>
      <c r="O47" s="107" t="str">
        <f>IF(LEN(A47)&gt;0,A47,"")</f>
        <v/>
      </c>
      <c r="P47" s="107" t="str">
        <f>IF(LEN(A47)&gt;0,C47,"")</f>
        <v/>
      </c>
      <c r="Q47" s="107" t="str">
        <f>IF(LEN(A47)&gt;2,D47,"")</f>
        <v/>
      </c>
      <c r="R47" s="107" t="str">
        <f>IF(LEN(A47)&gt;2,E47,"")</f>
        <v/>
      </c>
      <c r="S47" s="107" t="str">
        <f>IF(LEN(A47)&gt;2,B47,"")</f>
        <v/>
      </c>
      <c r="T47" s="108" t="str">
        <f>IF(LEN(A47)&gt;0,M47,"")</f>
        <v/>
      </c>
      <c r="U47" s="107" t="str">
        <f>IF(LEN(A47)&gt;0,TRUE,"")</f>
        <v/>
      </c>
    </row>
    <row r="48" spans="1:21" x14ac:dyDescent="0.25">
      <c r="A48" s="109"/>
      <c r="B48" s="109"/>
      <c r="C48" s="110"/>
      <c r="D48" s="110"/>
      <c r="E48" s="110"/>
      <c r="F48" s="111"/>
      <c r="G48" s="111"/>
      <c r="H48" s="111"/>
      <c r="I48" s="112" t="str">
        <f>IF(AND(ISNUMBER(F48),ISNUMBER(G48),ISNUMBER(H48)),(65-F48)/((65-F48)+(65-G48)+(65-H48)),"")</f>
        <v/>
      </c>
      <c r="J48" s="112" t="str">
        <f>IF(AND(ISNUMBER(F48),ISNUMBER(G48),ISNUMBER(H48)),(65-G48)/((65-F48)+(65-G48)+(65-H48)),"")</f>
        <v/>
      </c>
      <c r="K48" s="112" t="str">
        <f>IF(AND(ISNUMBER(F48),ISNUMBER(G48),ISNUMBER(H48)),(65-H48)/((65-F48)+(65-G48)+(65-H48)),"")</f>
        <v/>
      </c>
      <c r="L48" s="113"/>
      <c r="M48" s="114" t="str">
        <f>IF(ISNUMBER(I48),(F48*I48*0.5)+(G48*J48*0.5)+(H48*K48*0.5)-4+L48,"")</f>
        <v/>
      </c>
      <c r="O48" s="107" t="str">
        <f>IF(LEN(A48)&gt;0,A48,"")</f>
        <v/>
      </c>
      <c r="P48" s="107" t="str">
        <f>IF(LEN(A48)&gt;0,C48,"")</f>
        <v/>
      </c>
      <c r="Q48" s="107" t="str">
        <f>IF(LEN(A48)&gt;2,D48,"")</f>
        <v/>
      </c>
      <c r="R48" s="107" t="str">
        <f>IF(LEN(A48)&gt;2,E48,"")</f>
        <v/>
      </c>
      <c r="S48" s="107" t="str">
        <f>IF(LEN(A48)&gt;2,B48,"")</f>
        <v/>
      </c>
      <c r="T48" s="108" t="str">
        <f>IF(LEN(A48)&gt;0,M48,"")</f>
        <v/>
      </c>
      <c r="U48" s="107" t="str">
        <f>IF(LEN(A48)&gt;0,TRUE,"")</f>
        <v/>
      </c>
    </row>
    <row r="49" spans="1:21" x14ac:dyDescent="0.25">
      <c r="A49" s="109"/>
      <c r="B49" s="109"/>
      <c r="C49" s="110"/>
      <c r="D49" s="110"/>
      <c r="E49" s="110"/>
      <c r="F49" s="111"/>
      <c r="G49" s="111"/>
      <c r="H49" s="111"/>
      <c r="I49" s="112" t="str">
        <f>IF(AND(ISNUMBER(F49),ISNUMBER(G49),ISNUMBER(H49)),(65-F49)/((65-F49)+(65-G49)+(65-H49)),"")</f>
        <v/>
      </c>
      <c r="J49" s="112" t="str">
        <f>IF(AND(ISNUMBER(F49),ISNUMBER(G49),ISNUMBER(H49)),(65-G49)/((65-F49)+(65-G49)+(65-H49)),"")</f>
        <v/>
      </c>
      <c r="K49" s="112" t="str">
        <f>IF(AND(ISNUMBER(F49),ISNUMBER(G49),ISNUMBER(H49)),(65-H49)/((65-F49)+(65-G49)+(65-H49)),"")</f>
        <v/>
      </c>
      <c r="L49" s="113"/>
      <c r="M49" s="114" t="str">
        <f>IF(ISNUMBER(I49),(F49*I49*0.5)+(G49*J49*0.5)+(H49*K49*0.5)-4+L49,"")</f>
        <v/>
      </c>
      <c r="O49" s="107" t="str">
        <f>IF(LEN(A49)&gt;0,A49,"")</f>
        <v/>
      </c>
      <c r="P49" s="107" t="str">
        <f>IF(LEN(A49)&gt;0,C49,"")</f>
        <v/>
      </c>
      <c r="Q49" s="107" t="str">
        <f>IF(LEN(A49)&gt;2,D49,"")</f>
        <v/>
      </c>
      <c r="R49" s="107" t="str">
        <f>IF(LEN(A49)&gt;2,E49,"")</f>
        <v/>
      </c>
      <c r="S49" s="107" t="str">
        <f>IF(LEN(A49)&gt;2,B49,"")</f>
        <v/>
      </c>
      <c r="T49" s="108" t="str">
        <f>IF(LEN(A49)&gt;0,M49,"")</f>
        <v/>
      </c>
      <c r="U49" s="107" t="str">
        <f>IF(LEN(A49)&gt;0,TRUE,"")</f>
        <v/>
      </c>
    </row>
    <row r="50" spans="1:21" x14ac:dyDescent="0.25">
      <c r="A50" s="109"/>
      <c r="B50" s="109"/>
      <c r="C50" s="110"/>
      <c r="D50" s="110"/>
      <c r="E50" s="110"/>
      <c r="F50" s="111"/>
      <c r="G50" s="111"/>
      <c r="H50" s="111"/>
      <c r="I50" s="112" t="str">
        <f>IF(AND(ISNUMBER(F50),ISNUMBER(G50),ISNUMBER(H50)),(65-F50)/((65-F50)+(65-G50)+(65-H50)),"")</f>
        <v/>
      </c>
      <c r="J50" s="112" t="str">
        <f>IF(AND(ISNUMBER(F50),ISNUMBER(G50),ISNUMBER(H50)),(65-G50)/((65-F50)+(65-G50)+(65-H50)),"")</f>
        <v/>
      </c>
      <c r="K50" s="112" t="str">
        <f>IF(AND(ISNUMBER(F50),ISNUMBER(G50),ISNUMBER(H50)),(65-H50)/((65-F50)+(65-G50)+(65-H50)),"")</f>
        <v/>
      </c>
      <c r="L50" s="113"/>
      <c r="M50" s="114" t="str">
        <f>IF(ISNUMBER(I50),(F50*I50*0.5)+(G50*J50*0.5)+(H50*K50*0.5)-4+L50,"")</f>
        <v/>
      </c>
      <c r="O50" s="107" t="str">
        <f>IF(LEN(A50)&gt;0,A50,"")</f>
        <v/>
      </c>
      <c r="P50" s="107" t="str">
        <f>IF(LEN(A50)&gt;0,C50,"")</f>
        <v/>
      </c>
      <c r="Q50" s="107" t="str">
        <f>IF(LEN(A50)&gt;2,D50,"")</f>
        <v/>
      </c>
      <c r="R50" s="107" t="str">
        <f>IF(LEN(A50)&gt;2,E50,"")</f>
        <v/>
      </c>
      <c r="S50" s="107" t="str">
        <f>IF(LEN(A50)&gt;2,B50,"")</f>
        <v/>
      </c>
      <c r="T50" s="108" t="str">
        <f>IF(LEN(A50)&gt;0,M50,"")</f>
        <v/>
      </c>
      <c r="U50" s="107" t="str">
        <f>IF(LEN(A50)&gt;0,TRUE,"")</f>
        <v/>
      </c>
    </row>
    <row r="51" spans="1:21" x14ac:dyDescent="0.25">
      <c r="A51" s="109"/>
      <c r="B51" s="109"/>
      <c r="C51" s="110"/>
      <c r="D51" s="110"/>
      <c r="E51" s="110"/>
      <c r="F51" s="111"/>
      <c r="G51" s="111"/>
      <c r="H51" s="111"/>
      <c r="I51" s="112" t="str">
        <f>IF(AND(ISNUMBER(F51),ISNUMBER(G51),ISNUMBER(H51)),(65-F51)/((65-F51)+(65-G51)+(65-H51)),"")</f>
        <v/>
      </c>
      <c r="J51" s="112" t="str">
        <f>IF(AND(ISNUMBER(F51),ISNUMBER(G51),ISNUMBER(H51)),(65-G51)/((65-F51)+(65-G51)+(65-H51)),"")</f>
        <v/>
      </c>
      <c r="K51" s="112" t="str">
        <f>IF(AND(ISNUMBER(F51),ISNUMBER(G51),ISNUMBER(H51)),(65-H51)/((65-F51)+(65-G51)+(65-H51)),"")</f>
        <v/>
      </c>
      <c r="L51" s="113"/>
      <c r="M51" s="114" t="str">
        <f>IF(ISNUMBER(I51),(F51*I51*0.5)+(G51*J51*0.5)+(H51*K51*0.5)-4+L51,"")</f>
        <v/>
      </c>
      <c r="O51" s="107" t="str">
        <f>IF(LEN(A51)&gt;0,A51,"")</f>
        <v/>
      </c>
      <c r="P51" s="107" t="str">
        <f>IF(LEN(A51)&gt;0,C51,"")</f>
        <v/>
      </c>
      <c r="Q51" s="107" t="str">
        <f>IF(LEN(A51)&gt;2,D51,"")</f>
        <v/>
      </c>
      <c r="R51" s="107" t="str">
        <f>IF(LEN(A51)&gt;2,E51,"")</f>
        <v/>
      </c>
      <c r="S51" s="107" t="str">
        <f>IF(LEN(A51)&gt;2,B51,"")</f>
        <v/>
      </c>
      <c r="T51" s="108" t="str">
        <f>IF(LEN(A51)&gt;0,M51,"")</f>
        <v/>
      </c>
      <c r="U51" s="107" t="str">
        <f>IF(LEN(A51)&gt;0,TRUE,"")</f>
        <v/>
      </c>
    </row>
    <row r="52" spans="1:21" x14ac:dyDescent="0.25">
      <c r="A52" s="109"/>
      <c r="B52" s="109"/>
      <c r="C52" s="110"/>
      <c r="D52" s="110"/>
      <c r="E52" s="110"/>
      <c r="F52" s="111"/>
      <c r="G52" s="111"/>
      <c r="H52" s="111"/>
      <c r="I52" s="112" t="str">
        <f>IF(AND(ISNUMBER(F52),ISNUMBER(G52),ISNUMBER(H52)),(65-F52)/((65-F52)+(65-G52)+(65-H52)),"")</f>
        <v/>
      </c>
      <c r="J52" s="112" t="str">
        <f>IF(AND(ISNUMBER(F52),ISNUMBER(G52),ISNUMBER(H52)),(65-G52)/((65-F52)+(65-G52)+(65-H52)),"")</f>
        <v/>
      </c>
      <c r="K52" s="112" t="str">
        <f>IF(AND(ISNUMBER(F52),ISNUMBER(G52),ISNUMBER(H52)),(65-H52)/((65-F52)+(65-G52)+(65-H52)),"")</f>
        <v/>
      </c>
      <c r="L52" s="113"/>
      <c r="M52" s="114" t="str">
        <f>IF(ISNUMBER(I52),(F52*I52*0.5)+(G52*J52*0.5)+(H52*K52*0.5)-4+L52,"")</f>
        <v/>
      </c>
      <c r="O52" s="107" t="str">
        <f>IF(LEN(A52)&gt;0,A52,"")</f>
        <v/>
      </c>
      <c r="P52" s="107" t="str">
        <f>IF(LEN(A52)&gt;0,C52,"")</f>
        <v/>
      </c>
      <c r="Q52" s="107" t="str">
        <f>IF(LEN(A52)&gt;2,D52,"")</f>
        <v/>
      </c>
      <c r="R52" s="107" t="str">
        <f>IF(LEN(A52)&gt;2,E52,"")</f>
        <v/>
      </c>
      <c r="S52" s="107" t="str">
        <f>IF(LEN(A52)&gt;2,B52,"")</f>
        <v/>
      </c>
      <c r="T52" s="108" t="str">
        <f>IF(LEN(A52)&gt;0,M52,"")</f>
        <v/>
      </c>
      <c r="U52" s="107" t="str">
        <f>IF(LEN(A52)&gt;0,TRUE,"")</f>
        <v/>
      </c>
    </row>
    <row r="53" spans="1:21" x14ac:dyDescent="0.25">
      <c r="A53" s="109"/>
      <c r="B53" s="109"/>
      <c r="C53" s="110"/>
      <c r="D53" s="110"/>
      <c r="E53" s="110"/>
      <c r="F53" s="111"/>
      <c r="G53" s="111"/>
      <c r="H53" s="111"/>
      <c r="I53" s="112" t="str">
        <f>IF(AND(ISNUMBER(F53),ISNUMBER(G53),ISNUMBER(H53)),(65-F53)/((65-F53)+(65-G53)+(65-H53)),"")</f>
        <v/>
      </c>
      <c r="J53" s="112" t="str">
        <f>IF(AND(ISNUMBER(F53),ISNUMBER(G53),ISNUMBER(H53)),(65-G53)/((65-F53)+(65-G53)+(65-H53)),"")</f>
        <v/>
      </c>
      <c r="K53" s="112" t="str">
        <f>IF(AND(ISNUMBER(F53),ISNUMBER(G53),ISNUMBER(H53)),(65-H53)/((65-F53)+(65-G53)+(65-H53)),"")</f>
        <v/>
      </c>
      <c r="L53" s="113"/>
      <c r="M53" s="114" t="str">
        <f>IF(ISNUMBER(I53),(F53*I53*0.5)+(G53*J53*0.5)+(H53*K53*0.5)-4+L53,"")</f>
        <v/>
      </c>
      <c r="O53" s="107" t="str">
        <f>IF(LEN(A53)&gt;0,A53,"")</f>
        <v/>
      </c>
      <c r="P53" s="107" t="str">
        <f>IF(LEN(A53)&gt;0,C53,"")</f>
        <v/>
      </c>
      <c r="Q53" s="107" t="str">
        <f>IF(LEN(A53)&gt;2,D53,"")</f>
        <v/>
      </c>
      <c r="R53" s="107" t="str">
        <f>IF(LEN(A53)&gt;2,E53,"")</f>
        <v/>
      </c>
      <c r="S53" s="107" t="str">
        <f>IF(LEN(A53)&gt;2,B53,"")</f>
        <v/>
      </c>
      <c r="T53" s="108" t="str">
        <f>IF(LEN(A53)&gt;0,M53,"")</f>
        <v/>
      </c>
      <c r="U53" s="107" t="str">
        <f>IF(LEN(A53)&gt;0,TRUE,"")</f>
        <v/>
      </c>
    </row>
    <row r="54" spans="1:21" x14ac:dyDescent="0.25">
      <c r="A54" s="109"/>
      <c r="B54" s="109"/>
      <c r="C54" s="110"/>
      <c r="D54" s="110"/>
      <c r="E54" s="110"/>
      <c r="F54" s="111"/>
      <c r="G54" s="111"/>
      <c r="H54" s="111"/>
      <c r="I54" s="112" t="str">
        <f>IF(AND(ISNUMBER(F54),ISNUMBER(G54),ISNUMBER(H54)),(65-F54)/((65-F54)+(65-G54)+(65-H54)),"")</f>
        <v/>
      </c>
      <c r="J54" s="112" t="str">
        <f>IF(AND(ISNUMBER(F54),ISNUMBER(G54),ISNUMBER(H54)),(65-G54)/((65-F54)+(65-G54)+(65-H54)),"")</f>
        <v/>
      </c>
      <c r="K54" s="112" t="str">
        <f>IF(AND(ISNUMBER(F54),ISNUMBER(G54),ISNUMBER(H54)),(65-H54)/((65-F54)+(65-G54)+(65-H54)),"")</f>
        <v/>
      </c>
      <c r="L54" s="113"/>
      <c r="M54" s="114" t="str">
        <f>IF(ISNUMBER(I54),(F54*I54*0.5)+(G54*J54*0.5)+(H54*K54*0.5)-4+L54,"")</f>
        <v/>
      </c>
      <c r="O54" s="107" t="str">
        <f>IF(LEN(A54)&gt;0,A54,"")</f>
        <v/>
      </c>
      <c r="P54" s="107" t="str">
        <f>IF(LEN(A54)&gt;0,C54,"")</f>
        <v/>
      </c>
      <c r="Q54" s="107" t="str">
        <f>IF(LEN(A54)&gt;2,D54,"")</f>
        <v/>
      </c>
      <c r="R54" s="107" t="str">
        <f>IF(LEN(A54)&gt;2,E54,"")</f>
        <v/>
      </c>
      <c r="S54" s="107" t="str">
        <f>IF(LEN(A54)&gt;2,B54,"")</f>
        <v/>
      </c>
      <c r="T54" s="108" t="str">
        <f>IF(LEN(A54)&gt;0,M54,"")</f>
        <v/>
      </c>
      <c r="U54" s="107" t="str">
        <f>IF(LEN(A54)&gt;0,TRUE,"")</f>
        <v/>
      </c>
    </row>
    <row r="55" spans="1:21" x14ac:dyDescent="0.25">
      <c r="A55" s="109"/>
      <c r="B55" s="109"/>
      <c r="C55" s="110"/>
      <c r="D55" s="110"/>
      <c r="E55" s="110"/>
      <c r="F55" s="111"/>
      <c r="G55" s="111"/>
      <c r="H55" s="111"/>
      <c r="I55" s="112" t="str">
        <f>IF(AND(ISNUMBER(F55),ISNUMBER(G55),ISNUMBER(H55)),(65-F55)/((65-F55)+(65-G55)+(65-H55)),"")</f>
        <v/>
      </c>
      <c r="J55" s="112" t="str">
        <f>IF(AND(ISNUMBER(F55),ISNUMBER(G55),ISNUMBER(H55)),(65-G55)/((65-F55)+(65-G55)+(65-H55)),"")</f>
        <v/>
      </c>
      <c r="K55" s="112" t="str">
        <f>IF(AND(ISNUMBER(F55),ISNUMBER(G55),ISNUMBER(H55)),(65-H55)/((65-F55)+(65-G55)+(65-H55)),"")</f>
        <v/>
      </c>
      <c r="L55" s="113"/>
      <c r="M55" s="114" t="str">
        <f>IF(ISNUMBER(I55),(F55*I55*0.5)+(G55*J55*0.5)+(H55*K55*0.5)-4+L55,"")</f>
        <v/>
      </c>
      <c r="O55" s="107" t="str">
        <f>IF(LEN(A55)&gt;0,A55,"")</f>
        <v/>
      </c>
      <c r="P55" s="107" t="str">
        <f>IF(LEN(A55)&gt;0,C55,"")</f>
        <v/>
      </c>
      <c r="Q55" s="107" t="str">
        <f>IF(LEN(A55)&gt;2,D55,"")</f>
        <v/>
      </c>
      <c r="R55" s="107" t="str">
        <f>IF(LEN(A55)&gt;2,E55,"")</f>
        <v/>
      </c>
      <c r="S55" s="107" t="str">
        <f>IF(LEN(A55)&gt;2,B55,"")</f>
        <v/>
      </c>
      <c r="T55" s="108" t="str">
        <f>IF(LEN(A55)&gt;0,M55,"")</f>
        <v/>
      </c>
      <c r="U55" s="107" t="str">
        <f>IF(LEN(A55)&gt;0,TRUE,"")</f>
        <v/>
      </c>
    </row>
    <row r="56" spans="1:21" x14ac:dyDescent="0.25">
      <c r="A56" s="109"/>
      <c r="B56" s="109"/>
      <c r="C56" s="110"/>
      <c r="D56" s="110"/>
      <c r="E56" s="110"/>
      <c r="F56" s="111"/>
      <c r="G56" s="111"/>
      <c r="H56" s="111"/>
      <c r="I56" s="112" t="str">
        <f>IF(AND(ISNUMBER(F56),ISNUMBER(G56),ISNUMBER(H56)),(65-F56)/((65-F56)+(65-G56)+(65-H56)),"")</f>
        <v/>
      </c>
      <c r="J56" s="112" t="str">
        <f>IF(AND(ISNUMBER(F56),ISNUMBER(G56),ISNUMBER(H56)),(65-G56)/((65-F56)+(65-G56)+(65-H56)),"")</f>
        <v/>
      </c>
      <c r="K56" s="112" t="str">
        <f>IF(AND(ISNUMBER(F56),ISNUMBER(G56),ISNUMBER(H56)),(65-H56)/((65-F56)+(65-G56)+(65-H56)),"")</f>
        <v/>
      </c>
      <c r="L56" s="113"/>
      <c r="M56" s="114" t="str">
        <f>IF(ISNUMBER(I56),(F56*I56*0.5)+(G56*J56*0.5)+(H56*K56*0.5)-4+L56,"")</f>
        <v/>
      </c>
      <c r="O56" s="107" t="str">
        <f>IF(LEN(A56)&gt;0,A56,"")</f>
        <v/>
      </c>
      <c r="P56" s="107" t="str">
        <f>IF(LEN(A56)&gt;0,C56,"")</f>
        <v/>
      </c>
      <c r="Q56" s="107" t="str">
        <f>IF(LEN(A56)&gt;2,D56,"")</f>
        <v/>
      </c>
      <c r="R56" s="107" t="str">
        <f>IF(LEN(A56)&gt;2,E56,"")</f>
        <v/>
      </c>
      <c r="S56" s="107" t="str">
        <f>IF(LEN(A56)&gt;2,B56,"")</f>
        <v/>
      </c>
      <c r="T56" s="108" t="str">
        <f>IF(LEN(A56)&gt;0,M56,"")</f>
        <v/>
      </c>
      <c r="U56" s="107" t="str">
        <f>IF(LEN(A56)&gt;0,TRUE,"")</f>
        <v/>
      </c>
    </row>
    <row r="57" spans="1:21" x14ac:dyDescent="0.25">
      <c r="A57" s="109"/>
      <c r="B57" s="109"/>
      <c r="C57" s="110"/>
      <c r="D57" s="110"/>
      <c r="E57" s="110"/>
      <c r="F57" s="111"/>
      <c r="G57" s="111"/>
      <c r="H57" s="111"/>
      <c r="I57" s="112" t="str">
        <f>IF(AND(ISNUMBER(F57),ISNUMBER(G57),ISNUMBER(H57)),(65-F57)/((65-F57)+(65-G57)+(65-H57)),"")</f>
        <v/>
      </c>
      <c r="J57" s="112" t="str">
        <f>IF(AND(ISNUMBER(F57),ISNUMBER(G57),ISNUMBER(H57)),(65-G57)/((65-F57)+(65-G57)+(65-H57)),"")</f>
        <v/>
      </c>
      <c r="K57" s="112" t="str">
        <f>IF(AND(ISNUMBER(F57),ISNUMBER(G57),ISNUMBER(H57)),(65-H57)/((65-F57)+(65-G57)+(65-H57)),"")</f>
        <v/>
      </c>
      <c r="L57" s="113"/>
      <c r="M57" s="114" t="str">
        <f>IF(ISNUMBER(I57),(F57*I57*0.5)+(G57*J57*0.5)+(H57*K57*0.5)-4+L57,"")</f>
        <v/>
      </c>
      <c r="O57" s="107" t="str">
        <f>IF(LEN(A57)&gt;0,A57,"")</f>
        <v/>
      </c>
      <c r="P57" s="107" t="str">
        <f>IF(LEN(A57)&gt;0,C57,"")</f>
        <v/>
      </c>
      <c r="Q57" s="107" t="str">
        <f>IF(LEN(A57)&gt;2,D57,"")</f>
        <v/>
      </c>
      <c r="R57" s="107" t="str">
        <f>IF(LEN(A57)&gt;2,E57,"")</f>
        <v/>
      </c>
      <c r="S57" s="107" t="str">
        <f>IF(LEN(A57)&gt;2,B57,"")</f>
        <v/>
      </c>
      <c r="T57" s="108" t="str">
        <f>IF(LEN(A57)&gt;0,M57,"")</f>
        <v/>
      </c>
      <c r="U57" s="107" t="str">
        <f>IF(LEN(A57)&gt;0,TRUE,"")</f>
        <v/>
      </c>
    </row>
    <row r="58" spans="1:21" x14ac:dyDescent="0.25">
      <c r="A58" s="109"/>
      <c r="B58" s="109"/>
      <c r="C58" s="110"/>
      <c r="D58" s="110"/>
      <c r="E58" s="110"/>
      <c r="F58" s="111"/>
      <c r="G58" s="111"/>
      <c r="H58" s="111"/>
      <c r="I58" s="112" t="str">
        <f>IF(AND(ISNUMBER(F58),ISNUMBER(G58),ISNUMBER(H58)),(65-F58)/((65-F58)+(65-G58)+(65-H58)),"")</f>
        <v/>
      </c>
      <c r="J58" s="112" t="str">
        <f>IF(AND(ISNUMBER(F58),ISNUMBER(G58),ISNUMBER(H58)),(65-G58)/((65-F58)+(65-G58)+(65-H58)),"")</f>
        <v/>
      </c>
      <c r="K58" s="112" t="str">
        <f>IF(AND(ISNUMBER(F58),ISNUMBER(G58),ISNUMBER(H58)),(65-H58)/((65-F58)+(65-G58)+(65-H58)),"")</f>
        <v/>
      </c>
      <c r="L58" s="113"/>
      <c r="M58" s="114" t="str">
        <f>IF(ISNUMBER(I58),(F58*I58*0.5)+(G58*J58*0.5)+(H58*K58*0.5)-4+L58,"")</f>
        <v/>
      </c>
      <c r="O58" s="107" t="str">
        <f>IF(LEN(A58)&gt;0,A58,"")</f>
        <v/>
      </c>
      <c r="P58" s="107" t="str">
        <f>IF(LEN(A58)&gt;0,C58,"")</f>
        <v/>
      </c>
      <c r="Q58" s="107" t="str">
        <f>IF(LEN(A58)&gt;2,D58,"")</f>
        <v/>
      </c>
      <c r="R58" s="107" t="str">
        <f>IF(LEN(A58)&gt;2,E58,"")</f>
        <v/>
      </c>
      <c r="S58" s="107" t="str">
        <f>IF(LEN(A58)&gt;2,B58,"")</f>
        <v/>
      </c>
      <c r="T58" s="108" t="str">
        <f>IF(LEN(A58)&gt;0,M58,"")</f>
        <v/>
      </c>
      <c r="U58" s="107" t="str">
        <f>IF(LEN(A58)&gt;0,TRUE,"")</f>
        <v/>
      </c>
    </row>
    <row r="59" spans="1:21" x14ac:dyDescent="0.25">
      <c r="A59" s="109"/>
      <c r="B59" s="109"/>
      <c r="C59" s="110"/>
      <c r="D59" s="110"/>
      <c r="E59" s="110"/>
      <c r="F59" s="111"/>
      <c r="G59" s="111"/>
      <c r="H59" s="111"/>
      <c r="I59" s="112" t="str">
        <f>IF(AND(ISNUMBER(F59),ISNUMBER(G59),ISNUMBER(H59)),(65-F59)/((65-F59)+(65-G59)+(65-H59)),"")</f>
        <v/>
      </c>
      <c r="J59" s="112" t="str">
        <f>IF(AND(ISNUMBER(F59),ISNUMBER(G59),ISNUMBER(H59)),(65-G59)/((65-F59)+(65-G59)+(65-H59)),"")</f>
        <v/>
      </c>
      <c r="K59" s="112" t="str">
        <f>IF(AND(ISNUMBER(F59),ISNUMBER(G59),ISNUMBER(H59)),(65-H59)/((65-F59)+(65-G59)+(65-H59)),"")</f>
        <v/>
      </c>
      <c r="L59" s="113"/>
      <c r="M59" s="114" t="str">
        <f>IF(ISNUMBER(I59),(F59*I59*0.5)+(G59*J59*0.5)+(H59*K59*0.5)-4+L59,"")</f>
        <v/>
      </c>
      <c r="O59" s="107" t="str">
        <f>IF(LEN(A59)&gt;0,A59,"")</f>
        <v/>
      </c>
      <c r="P59" s="107" t="str">
        <f>IF(LEN(A59)&gt;0,C59,"")</f>
        <v/>
      </c>
      <c r="Q59" s="107" t="str">
        <f>IF(LEN(A59)&gt;2,D59,"")</f>
        <v/>
      </c>
      <c r="R59" s="107" t="str">
        <f>IF(LEN(A59)&gt;2,E59,"")</f>
        <v/>
      </c>
      <c r="S59" s="107" t="str">
        <f>IF(LEN(A59)&gt;2,B59,"")</f>
        <v/>
      </c>
      <c r="T59" s="108" t="str">
        <f>IF(LEN(A59)&gt;0,M59,"")</f>
        <v/>
      </c>
      <c r="U59" s="107" t="str">
        <f>IF(LEN(A59)&gt;0,TRUE,"")</f>
        <v/>
      </c>
    </row>
    <row r="60" spans="1:21" x14ac:dyDescent="0.25">
      <c r="A60" s="109"/>
      <c r="B60" s="109"/>
      <c r="C60" s="110"/>
      <c r="D60" s="110"/>
      <c r="E60" s="110"/>
      <c r="F60" s="111"/>
      <c r="G60" s="111"/>
      <c r="H60" s="111"/>
      <c r="I60" s="112" t="str">
        <f>IF(AND(ISNUMBER(F60),ISNUMBER(G60),ISNUMBER(H60)),(65-F60)/((65-F60)+(65-G60)+(65-H60)),"")</f>
        <v/>
      </c>
      <c r="J60" s="112" t="str">
        <f>IF(AND(ISNUMBER(F60),ISNUMBER(G60),ISNUMBER(H60)),(65-G60)/((65-F60)+(65-G60)+(65-H60)),"")</f>
        <v/>
      </c>
      <c r="K60" s="112" t="str">
        <f>IF(AND(ISNUMBER(F60),ISNUMBER(G60),ISNUMBER(H60)),(65-H60)/((65-F60)+(65-G60)+(65-H60)),"")</f>
        <v/>
      </c>
      <c r="L60" s="113"/>
      <c r="M60" s="114" t="str">
        <f>IF(ISNUMBER(I60),(F60*I60*0.5)+(G60*J60*0.5)+(H60*K60*0.5)-4+L60,"")</f>
        <v/>
      </c>
      <c r="O60" s="107" t="str">
        <f>IF(LEN(A60)&gt;0,A60,"")</f>
        <v/>
      </c>
      <c r="P60" s="107" t="str">
        <f>IF(LEN(A60)&gt;0,C60,"")</f>
        <v/>
      </c>
      <c r="Q60" s="107" t="str">
        <f>IF(LEN(A60)&gt;2,D60,"")</f>
        <v/>
      </c>
      <c r="R60" s="107" t="str">
        <f>IF(LEN(A60)&gt;2,E60,"")</f>
        <v/>
      </c>
      <c r="S60" s="107" t="str">
        <f>IF(LEN(A60)&gt;2,B60,"")</f>
        <v/>
      </c>
      <c r="T60" s="108" t="str">
        <f>IF(LEN(A60)&gt;0,M60,"")</f>
        <v/>
      </c>
      <c r="U60" s="107" t="str">
        <f>IF(LEN(A60)&gt;0,TRUE,"")</f>
        <v/>
      </c>
    </row>
    <row r="61" spans="1:21" x14ac:dyDescent="0.25">
      <c r="A61" s="109"/>
      <c r="B61" s="109"/>
      <c r="C61" s="110"/>
      <c r="D61" s="110"/>
      <c r="E61" s="110"/>
      <c r="F61" s="111"/>
      <c r="G61" s="111"/>
      <c r="H61" s="111"/>
      <c r="I61" s="112" t="str">
        <f>IF(AND(ISNUMBER(F61),ISNUMBER(G61),ISNUMBER(H61)),(65-F61)/((65-F61)+(65-G61)+(65-H61)),"")</f>
        <v/>
      </c>
      <c r="J61" s="112" t="str">
        <f>IF(AND(ISNUMBER(F61),ISNUMBER(G61),ISNUMBER(H61)),(65-G61)/((65-F61)+(65-G61)+(65-H61)),"")</f>
        <v/>
      </c>
      <c r="K61" s="112" t="str">
        <f>IF(AND(ISNUMBER(F61),ISNUMBER(G61),ISNUMBER(H61)),(65-H61)/((65-F61)+(65-G61)+(65-H61)),"")</f>
        <v/>
      </c>
      <c r="L61" s="113"/>
      <c r="M61" s="114" t="str">
        <f>IF(ISNUMBER(I61),(F61*I61*0.5)+(G61*J61*0.5)+(H61*K61*0.5)-4+L61,"")</f>
        <v/>
      </c>
      <c r="O61" s="107" t="str">
        <f>IF(LEN(A61)&gt;0,A61,"")</f>
        <v/>
      </c>
      <c r="P61" s="107" t="str">
        <f>IF(LEN(A61)&gt;0,C61,"")</f>
        <v/>
      </c>
      <c r="Q61" s="107" t="str">
        <f>IF(LEN(A61)&gt;2,D61,"")</f>
        <v/>
      </c>
      <c r="R61" s="107" t="str">
        <f>IF(LEN(A61)&gt;2,E61,"")</f>
        <v/>
      </c>
      <c r="S61" s="107" t="str">
        <f>IF(LEN(A61)&gt;2,B61,"")</f>
        <v/>
      </c>
      <c r="T61" s="108" t="str">
        <f>IF(LEN(A61)&gt;0,M61,"")</f>
        <v/>
      </c>
      <c r="U61" s="107" t="str">
        <f>IF(LEN(A61)&gt;0,TRUE,"")</f>
        <v/>
      </c>
    </row>
    <row r="62" spans="1:21" x14ac:dyDescent="0.25">
      <c r="A62" s="109"/>
      <c r="B62" s="109"/>
      <c r="C62" s="110"/>
      <c r="D62" s="110"/>
      <c r="E62" s="110"/>
      <c r="F62" s="111"/>
      <c r="G62" s="111"/>
      <c r="H62" s="111"/>
      <c r="I62" s="112" t="str">
        <f>IF(AND(ISNUMBER(F62),ISNUMBER(G62),ISNUMBER(H62)),(65-F62)/((65-F62)+(65-G62)+(65-H62)),"")</f>
        <v/>
      </c>
      <c r="J62" s="112" t="str">
        <f>IF(AND(ISNUMBER(F62),ISNUMBER(G62),ISNUMBER(H62)),(65-G62)/((65-F62)+(65-G62)+(65-H62)),"")</f>
        <v/>
      </c>
      <c r="K62" s="112" t="str">
        <f>IF(AND(ISNUMBER(F62),ISNUMBER(G62),ISNUMBER(H62)),(65-H62)/((65-F62)+(65-G62)+(65-H62)),"")</f>
        <v/>
      </c>
      <c r="L62" s="113"/>
      <c r="M62" s="114" t="str">
        <f>IF(ISNUMBER(I62),(F62*I62*0.5)+(G62*J62*0.5)+(H62*K62*0.5)-4+L62,"")</f>
        <v/>
      </c>
      <c r="O62" s="107" t="str">
        <f>IF(LEN(A62)&gt;0,A62,"")</f>
        <v/>
      </c>
      <c r="P62" s="107" t="str">
        <f>IF(LEN(A62)&gt;0,C62,"")</f>
        <v/>
      </c>
      <c r="Q62" s="107" t="str">
        <f>IF(LEN(A62)&gt;2,D62,"")</f>
        <v/>
      </c>
      <c r="R62" s="107" t="str">
        <f>IF(LEN(A62)&gt;2,E62,"")</f>
        <v/>
      </c>
      <c r="S62" s="107" t="str">
        <f>IF(LEN(A62)&gt;2,B62,"")</f>
        <v/>
      </c>
      <c r="T62" s="108" t="str">
        <f>IF(LEN(A62)&gt;0,M62,"")</f>
        <v/>
      </c>
      <c r="U62" s="107" t="str">
        <f>IF(LEN(A62)&gt;0,TRUE,"")</f>
        <v/>
      </c>
    </row>
    <row r="63" spans="1:21" x14ac:dyDescent="0.25">
      <c r="A63" s="109"/>
      <c r="B63" s="109"/>
      <c r="C63" s="110"/>
      <c r="D63" s="110"/>
      <c r="E63" s="110"/>
      <c r="F63" s="111"/>
      <c r="G63" s="111"/>
      <c r="H63" s="111"/>
      <c r="I63" s="112" t="str">
        <f>IF(AND(ISNUMBER(F63),ISNUMBER(G63),ISNUMBER(H63)),(65-F63)/((65-F63)+(65-G63)+(65-H63)),"")</f>
        <v/>
      </c>
      <c r="J63" s="112" t="str">
        <f>IF(AND(ISNUMBER(F63),ISNUMBER(G63),ISNUMBER(H63)),(65-G63)/((65-F63)+(65-G63)+(65-H63)),"")</f>
        <v/>
      </c>
      <c r="K63" s="112" t="str">
        <f>IF(AND(ISNUMBER(F63),ISNUMBER(G63),ISNUMBER(H63)),(65-H63)/((65-F63)+(65-G63)+(65-H63)),"")</f>
        <v/>
      </c>
      <c r="L63" s="113"/>
      <c r="M63" s="114" t="str">
        <f>IF(ISNUMBER(I63),(F63*I63*0.5)+(G63*J63*0.5)+(H63*K63*0.5)-4+L63,"")</f>
        <v/>
      </c>
      <c r="O63" s="107" t="str">
        <f>IF(LEN(A63)&gt;0,A63,"")</f>
        <v/>
      </c>
      <c r="P63" s="107" t="str">
        <f>IF(LEN(A63)&gt;0,C63,"")</f>
        <v/>
      </c>
      <c r="Q63" s="107" t="str">
        <f>IF(LEN(A63)&gt;2,D63,"")</f>
        <v/>
      </c>
      <c r="R63" s="107" t="str">
        <f>IF(LEN(A63)&gt;2,E63,"")</f>
        <v/>
      </c>
      <c r="S63" s="107" t="str">
        <f>IF(LEN(A63)&gt;2,B63,"")</f>
        <v/>
      </c>
      <c r="T63" s="108" t="str">
        <f>IF(LEN(A63)&gt;0,M63,"")</f>
        <v/>
      </c>
      <c r="U63" s="107" t="str">
        <f>IF(LEN(A63)&gt;0,TRUE,"")</f>
        <v/>
      </c>
    </row>
    <row r="64" spans="1:21" x14ac:dyDescent="0.25">
      <c r="A64" s="109"/>
      <c r="B64" s="109"/>
      <c r="C64" s="110"/>
      <c r="D64" s="110"/>
      <c r="E64" s="110"/>
      <c r="F64" s="111"/>
      <c r="G64" s="111"/>
      <c r="H64" s="111"/>
      <c r="I64" s="112" t="str">
        <f>IF(AND(ISNUMBER(F64),ISNUMBER(G64),ISNUMBER(H64)),(65-F64)/((65-F64)+(65-G64)+(65-H64)),"")</f>
        <v/>
      </c>
      <c r="J64" s="112" t="str">
        <f>IF(AND(ISNUMBER(F64),ISNUMBER(G64),ISNUMBER(H64)),(65-G64)/((65-F64)+(65-G64)+(65-H64)),"")</f>
        <v/>
      </c>
      <c r="K64" s="112" t="str">
        <f>IF(AND(ISNUMBER(F64),ISNUMBER(G64),ISNUMBER(H64)),(65-H64)/((65-F64)+(65-G64)+(65-H64)),"")</f>
        <v/>
      </c>
      <c r="L64" s="113"/>
      <c r="M64" s="114" t="str">
        <f>IF(ISNUMBER(I64),(F64*I64*0.5)+(G64*J64*0.5)+(H64*K64*0.5)-4+L64,"")</f>
        <v/>
      </c>
      <c r="O64" s="107" t="str">
        <f>IF(LEN(A64)&gt;0,A64,"")</f>
        <v/>
      </c>
      <c r="P64" s="107" t="str">
        <f>IF(LEN(A64)&gt;0,C64,"")</f>
        <v/>
      </c>
      <c r="Q64" s="107" t="str">
        <f>IF(LEN(A64)&gt;2,D64,"")</f>
        <v/>
      </c>
      <c r="R64" s="107" t="str">
        <f>IF(LEN(A64)&gt;2,E64,"")</f>
        <v/>
      </c>
      <c r="S64" s="107" t="str">
        <f>IF(LEN(A64)&gt;2,B64,"")</f>
        <v/>
      </c>
      <c r="T64" s="108" t="str">
        <f>IF(LEN(A64)&gt;0,M64,"")</f>
        <v/>
      </c>
      <c r="U64" s="107" t="str">
        <f>IF(LEN(A64)&gt;0,TRUE,"")</f>
        <v/>
      </c>
    </row>
    <row r="65" spans="1:21" x14ac:dyDescent="0.25">
      <c r="A65" s="109"/>
      <c r="B65" s="109"/>
      <c r="C65" s="110"/>
      <c r="D65" s="110"/>
      <c r="E65" s="110"/>
      <c r="F65" s="111"/>
      <c r="G65" s="111"/>
      <c r="H65" s="111"/>
      <c r="I65" s="112" t="str">
        <f>IF(AND(ISNUMBER(F65),ISNUMBER(G65),ISNUMBER(H65)),(65-F65)/((65-F65)+(65-G65)+(65-H65)),"")</f>
        <v/>
      </c>
      <c r="J65" s="112" t="str">
        <f>IF(AND(ISNUMBER(F65),ISNUMBER(G65),ISNUMBER(H65)),(65-G65)/((65-F65)+(65-G65)+(65-H65)),"")</f>
        <v/>
      </c>
      <c r="K65" s="112" t="str">
        <f>IF(AND(ISNUMBER(F65),ISNUMBER(G65),ISNUMBER(H65)),(65-H65)/((65-F65)+(65-G65)+(65-H65)),"")</f>
        <v/>
      </c>
      <c r="L65" s="113"/>
      <c r="M65" s="114" t="str">
        <f>IF(ISNUMBER(I65),(F65*I65*0.5)+(G65*J65*0.5)+(H65*K65*0.5)-4+L65,"")</f>
        <v/>
      </c>
      <c r="O65" s="107" t="str">
        <f>IF(LEN(A65)&gt;0,A65,"")</f>
        <v/>
      </c>
      <c r="P65" s="107" t="str">
        <f>IF(LEN(A65)&gt;0,C65,"")</f>
        <v/>
      </c>
      <c r="Q65" s="107" t="str">
        <f>IF(LEN(A65)&gt;2,D65,"")</f>
        <v/>
      </c>
      <c r="R65" s="107" t="str">
        <f>IF(LEN(A65)&gt;2,E65,"")</f>
        <v/>
      </c>
      <c r="S65" s="107" t="str">
        <f>IF(LEN(A65)&gt;2,B65,"")</f>
        <v/>
      </c>
      <c r="T65" s="108" t="str">
        <f>IF(LEN(A65)&gt;0,M65,"")</f>
        <v/>
      </c>
      <c r="U65" s="107" t="str">
        <f>IF(LEN(A65)&gt;0,TRUE,"")</f>
        <v/>
      </c>
    </row>
    <row r="66" spans="1:21" x14ac:dyDescent="0.25">
      <c r="A66" s="109"/>
      <c r="B66" s="109"/>
      <c r="C66" s="110"/>
      <c r="D66" s="110"/>
      <c r="E66" s="110"/>
      <c r="F66" s="111"/>
      <c r="G66" s="111"/>
      <c r="H66" s="111"/>
      <c r="I66" s="112" t="str">
        <f>IF(AND(ISNUMBER(F66),ISNUMBER(G66),ISNUMBER(H66)),(65-F66)/((65-F66)+(65-G66)+(65-H66)),"")</f>
        <v/>
      </c>
      <c r="J66" s="112" t="str">
        <f>IF(AND(ISNUMBER(F66),ISNUMBER(G66),ISNUMBER(H66)),(65-G66)/((65-F66)+(65-G66)+(65-H66)),"")</f>
        <v/>
      </c>
      <c r="K66" s="112" t="str">
        <f>IF(AND(ISNUMBER(F66),ISNUMBER(G66),ISNUMBER(H66)),(65-H66)/((65-F66)+(65-G66)+(65-H66)),"")</f>
        <v/>
      </c>
      <c r="L66" s="113"/>
      <c r="M66" s="114" t="str">
        <f>IF(ISNUMBER(I66),(F66*I66*0.5)+(G66*J66*0.5)+(H66*K66*0.5)-4+L66,"")</f>
        <v/>
      </c>
      <c r="O66" s="107" t="str">
        <f>IF(LEN(A66)&gt;0,A66,"")</f>
        <v/>
      </c>
      <c r="P66" s="107" t="str">
        <f>IF(LEN(A66)&gt;0,C66,"")</f>
        <v/>
      </c>
      <c r="Q66" s="107" t="str">
        <f>IF(LEN(A66)&gt;2,D66,"")</f>
        <v/>
      </c>
      <c r="R66" s="107" t="str">
        <f>IF(LEN(A66)&gt;2,E66,"")</f>
        <v/>
      </c>
      <c r="S66" s="107" t="str">
        <f>IF(LEN(A66)&gt;2,B66,"")</f>
        <v/>
      </c>
      <c r="T66" s="108" t="str">
        <f>IF(LEN(A66)&gt;0,M66,"")</f>
        <v/>
      </c>
      <c r="U66" s="107" t="str">
        <f>IF(LEN(A66)&gt;0,TRUE,"")</f>
        <v/>
      </c>
    </row>
    <row r="67" spans="1:21" x14ac:dyDescent="0.25">
      <c r="A67" s="109"/>
      <c r="B67" s="109"/>
      <c r="C67" s="110"/>
      <c r="D67" s="110"/>
      <c r="E67" s="110"/>
      <c r="F67" s="111"/>
      <c r="G67" s="111"/>
      <c r="H67" s="111"/>
      <c r="I67" s="112" t="str">
        <f>IF(AND(ISNUMBER(F67),ISNUMBER(G67),ISNUMBER(H67)),(65-F67)/((65-F67)+(65-G67)+(65-H67)),"")</f>
        <v/>
      </c>
      <c r="J67" s="112" t="str">
        <f>IF(AND(ISNUMBER(F67),ISNUMBER(G67),ISNUMBER(H67)),(65-G67)/((65-F67)+(65-G67)+(65-H67)),"")</f>
        <v/>
      </c>
      <c r="K67" s="112" t="str">
        <f>IF(AND(ISNUMBER(F67),ISNUMBER(G67),ISNUMBER(H67)),(65-H67)/((65-F67)+(65-G67)+(65-H67)),"")</f>
        <v/>
      </c>
      <c r="L67" s="113"/>
      <c r="M67" s="114" t="str">
        <f>IF(ISNUMBER(I67),(F67*I67*0.5)+(G67*J67*0.5)+(H67*K67*0.5)-4+L67,"")</f>
        <v/>
      </c>
      <c r="O67" s="107" t="str">
        <f>IF(LEN(A67)&gt;0,A67,"")</f>
        <v/>
      </c>
      <c r="P67" s="107" t="str">
        <f>IF(LEN(A67)&gt;0,C67,"")</f>
        <v/>
      </c>
      <c r="Q67" s="107" t="str">
        <f>IF(LEN(A67)&gt;2,D67,"")</f>
        <v/>
      </c>
      <c r="R67" s="107" t="str">
        <f>IF(LEN(A67)&gt;2,E67,"")</f>
        <v/>
      </c>
      <c r="S67" s="107" t="str">
        <f>IF(LEN(A67)&gt;2,B67,"")</f>
        <v/>
      </c>
      <c r="T67" s="108" t="str">
        <f>IF(LEN(A67)&gt;0,M67,"")</f>
        <v/>
      </c>
      <c r="U67" s="107" t="str">
        <f>IF(LEN(A67)&gt;0,TRUE,"")</f>
        <v/>
      </c>
    </row>
    <row r="68" spans="1:21" x14ac:dyDescent="0.25">
      <c r="A68" s="109"/>
      <c r="B68" s="109"/>
      <c r="C68" s="110"/>
      <c r="D68" s="110"/>
      <c r="E68" s="110"/>
      <c r="F68" s="111"/>
      <c r="G68" s="111"/>
      <c r="H68" s="111"/>
      <c r="I68" s="112" t="str">
        <f>IF(AND(ISNUMBER(F68),ISNUMBER(G68),ISNUMBER(H68)),(65-F68)/((65-F68)+(65-G68)+(65-H68)),"")</f>
        <v/>
      </c>
      <c r="J68" s="112" t="str">
        <f>IF(AND(ISNUMBER(F68),ISNUMBER(G68),ISNUMBER(H68)),(65-G68)/((65-F68)+(65-G68)+(65-H68)),"")</f>
        <v/>
      </c>
      <c r="K68" s="112" t="str">
        <f>IF(AND(ISNUMBER(F68),ISNUMBER(G68),ISNUMBER(H68)),(65-H68)/((65-F68)+(65-G68)+(65-H68)),"")</f>
        <v/>
      </c>
      <c r="L68" s="113"/>
      <c r="M68" s="114" t="str">
        <f>IF(ISNUMBER(I68),(F68*I68*0.5)+(G68*J68*0.5)+(H68*K68*0.5)-4+L68,"")</f>
        <v/>
      </c>
      <c r="O68" s="107" t="str">
        <f>IF(LEN(A68)&gt;0,A68,"")</f>
        <v/>
      </c>
      <c r="P68" s="107" t="str">
        <f>IF(LEN(A68)&gt;0,C68,"")</f>
        <v/>
      </c>
      <c r="Q68" s="107" t="str">
        <f>IF(LEN(A68)&gt;2,D68,"")</f>
        <v/>
      </c>
      <c r="R68" s="107" t="str">
        <f>IF(LEN(A68)&gt;2,E68,"")</f>
        <v/>
      </c>
      <c r="S68" s="107" t="str">
        <f>IF(LEN(A68)&gt;2,B68,"")</f>
        <v/>
      </c>
      <c r="T68" s="108" t="str">
        <f>IF(LEN(A68)&gt;0,M68,"")</f>
        <v/>
      </c>
      <c r="U68" s="107" t="str">
        <f>IF(LEN(A68)&gt;0,TRUE,"")</f>
        <v/>
      </c>
    </row>
    <row r="69" spans="1:21" x14ac:dyDescent="0.25">
      <c r="A69" s="109"/>
      <c r="B69" s="109"/>
      <c r="C69" s="110"/>
      <c r="D69" s="110"/>
      <c r="E69" s="110"/>
      <c r="F69" s="111"/>
      <c r="G69" s="111"/>
      <c r="H69" s="111"/>
      <c r="I69" s="112" t="str">
        <f>IF(AND(ISNUMBER(F69),ISNUMBER(G69),ISNUMBER(H69)),(65-F69)/((65-F69)+(65-G69)+(65-H69)),"")</f>
        <v/>
      </c>
      <c r="J69" s="112" t="str">
        <f>IF(AND(ISNUMBER(F69),ISNUMBER(G69),ISNUMBER(H69)),(65-G69)/((65-F69)+(65-G69)+(65-H69)),"")</f>
        <v/>
      </c>
      <c r="K69" s="112" t="str">
        <f>IF(AND(ISNUMBER(F69),ISNUMBER(G69),ISNUMBER(H69)),(65-H69)/((65-F69)+(65-G69)+(65-H69)),"")</f>
        <v/>
      </c>
      <c r="L69" s="113"/>
      <c r="M69" s="114" t="str">
        <f>IF(ISNUMBER(I69),(F69*I69*0.5)+(G69*J69*0.5)+(H69*K69*0.5)-4+L69,"")</f>
        <v/>
      </c>
      <c r="O69" s="107" t="str">
        <f>IF(LEN(A69)&gt;0,A69,"")</f>
        <v/>
      </c>
      <c r="P69" s="107" t="str">
        <f>IF(LEN(A69)&gt;0,C69,"")</f>
        <v/>
      </c>
      <c r="Q69" s="107" t="str">
        <f>IF(LEN(A69)&gt;2,D69,"")</f>
        <v/>
      </c>
      <c r="R69" s="107" t="str">
        <f>IF(LEN(A69)&gt;2,E69,"")</f>
        <v/>
      </c>
      <c r="S69" s="107" t="str">
        <f>IF(LEN(A69)&gt;2,B69,"")</f>
        <v/>
      </c>
      <c r="T69" s="108" t="str">
        <f>IF(LEN(A69)&gt;0,M69,"")</f>
        <v/>
      </c>
      <c r="U69" s="107" t="str">
        <f>IF(LEN(A69)&gt;0,TRUE,"")</f>
        <v/>
      </c>
    </row>
    <row r="70" spans="1:21" x14ac:dyDescent="0.25">
      <c r="A70" s="109"/>
      <c r="B70" s="109"/>
      <c r="C70" s="110"/>
      <c r="D70" s="110"/>
      <c r="E70" s="110"/>
      <c r="F70" s="111"/>
      <c r="G70" s="111"/>
      <c r="H70" s="111"/>
      <c r="I70" s="112" t="str">
        <f>IF(AND(ISNUMBER(F70),ISNUMBER(G70),ISNUMBER(H70)),(65-F70)/((65-F70)+(65-G70)+(65-H70)),"")</f>
        <v/>
      </c>
      <c r="J70" s="112" t="str">
        <f>IF(AND(ISNUMBER(F70),ISNUMBER(G70),ISNUMBER(H70)),(65-G70)/((65-F70)+(65-G70)+(65-H70)),"")</f>
        <v/>
      </c>
      <c r="K70" s="112" t="str">
        <f>IF(AND(ISNUMBER(F70),ISNUMBER(G70),ISNUMBER(H70)),(65-H70)/((65-F70)+(65-G70)+(65-H70)),"")</f>
        <v/>
      </c>
      <c r="L70" s="113"/>
      <c r="M70" s="114" t="str">
        <f>IF(ISNUMBER(I70),(F70*I70*0.5)+(G70*J70*0.5)+(H70*K70*0.5)-4+L70,"")</f>
        <v/>
      </c>
      <c r="O70" s="107" t="str">
        <f>IF(LEN(A70)&gt;0,A70,"")</f>
        <v/>
      </c>
      <c r="P70" s="107" t="str">
        <f>IF(LEN(A70)&gt;0,C70,"")</f>
        <v/>
      </c>
      <c r="Q70" s="107" t="str">
        <f>IF(LEN(A70)&gt;2,D70,"")</f>
        <v/>
      </c>
      <c r="R70" s="107" t="str">
        <f>IF(LEN(A70)&gt;2,E70,"")</f>
        <v/>
      </c>
      <c r="S70" s="107" t="str">
        <f>IF(LEN(A70)&gt;2,B70,"")</f>
        <v/>
      </c>
      <c r="T70" s="108" t="str">
        <f>IF(LEN(A70)&gt;0,M70,"")</f>
        <v/>
      </c>
      <c r="U70" s="107" t="str">
        <f>IF(LEN(A70)&gt;0,TRUE,"")</f>
        <v/>
      </c>
    </row>
    <row r="71" spans="1:21" x14ac:dyDescent="0.25">
      <c r="A71" s="109"/>
      <c r="B71" s="109"/>
      <c r="C71" s="110"/>
      <c r="D71" s="110"/>
      <c r="E71" s="110"/>
      <c r="F71" s="111"/>
      <c r="G71" s="111"/>
      <c r="H71" s="111"/>
      <c r="I71" s="112" t="str">
        <f>IF(AND(ISNUMBER(F71),ISNUMBER(G71),ISNUMBER(H71)),(65-F71)/((65-F71)+(65-G71)+(65-H71)),"")</f>
        <v/>
      </c>
      <c r="J71" s="112" t="str">
        <f>IF(AND(ISNUMBER(F71),ISNUMBER(G71),ISNUMBER(H71)),(65-G71)/((65-F71)+(65-G71)+(65-H71)),"")</f>
        <v/>
      </c>
      <c r="K71" s="112" t="str">
        <f>IF(AND(ISNUMBER(F71),ISNUMBER(G71),ISNUMBER(H71)),(65-H71)/((65-F71)+(65-G71)+(65-H71)),"")</f>
        <v/>
      </c>
      <c r="L71" s="113"/>
      <c r="M71" s="114" t="str">
        <f>IF(ISNUMBER(I71),(F71*I71*0.5)+(G71*J71*0.5)+(H71*K71*0.5)-4+L71,"")</f>
        <v/>
      </c>
      <c r="O71" s="107" t="str">
        <f>IF(LEN(A71)&gt;0,A71,"")</f>
        <v/>
      </c>
      <c r="P71" s="107" t="str">
        <f>IF(LEN(A71)&gt;0,C71,"")</f>
        <v/>
      </c>
      <c r="Q71" s="107" t="str">
        <f>IF(LEN(A71)&gt;2,D71,"")</f>
        <v/>
      </c>
      <c r="R71" s="107" t="str">
        <f>IF(LEN(A71)&gt;2,E71,"")</f>
        <v/>
      </c>
      <c r="S71" s="107" t="str">
        <f>IF(LEN(A71)&gt;2,B71,"")</f>
        <v/>
      </c>
      <c r="T71" s="108" t="str">
        <f>IF(LEN(A71)&gt;0,M71,"")</f>
        <v/>
      </c>
      <c r="U71" s="107" t="str">
        <f>IF(LEN(A71)&gt;0,TRUE,"")</f>
        <v/>
      </c>
    </row>
    <row r="72" spans="1:21" x14ac:dyDescent="0.25">
      <c r="A72" s="109"/>
      <c r="B72" s="109"/>
      <c r="C72" s="110"/>
      <c r="D72" s="110"/>
      <c r="E72" s="110"/>
      <c r="F72" s="111"/>
      <c r="G72" s="111"/>
      <c r="H72" s="111"/>
      <c r="I72" s="112" t="str">
        <f>IF(AND(ISNUMBER(F72),ISNUMBER(G72),ISNUMBER(H72)),(65-F72)/((65-F72)+(65-G72)+(65-H72)),"")</f>
        <v/>
      </c>
      <c r="J72" s="112" t="str">
        <f>IF(AND(ISNUMBER(F72),ISNUMBER(G72),ISNUMBER(H72)),(65-G72)/((65-F72)+(65-G72)+(65-H72)),"")</f>
        <v/>
      </c>
      <c r="K72" s="112" t="str">
        <f>IF(AND(ISNUMBER(F72),ISNUMBER(G72),ISNUMBER(H72)),(65-H72)/((65-F72)+(65-G72)+(65-H72)),"")</f>
        <v/>
      </c>
      <c r="L72" s="113"/>
      <c r="M72" s="114" t="str">
        <f>IF(ISNUMBER(I72),(F72*I72*0.5)+(G72*J72*0.5)+(H72*K72*0.5)-4+L72,"")</f>
        <v/>
      </c>
      <c r="O72" s="107" t="str">
        <f>IF(LEN(A72)&gt;0,A72,"")</f>
        <v/>
      </c>
      <c r="P72" s="107" t="str">
        <f>IF(LEN(A72)&gt;0,C72,"")</f>
        <v/>
      </c>
      <c r="Q72" s="107" t="str">
        <f>IF(LEN(A72)&gt;2,D72,"")</f>
        <v/>
      </c>
      <c r="R72" s="107" t="str">
        <f>IF(LEN(A72)&gt;2,E72,"")</f>
        <v/>
      </c>
      <c r="S72" s="107" t="str">
        <f>IF(LEN(A72)&gt;2,B72,"")</f>
        <v/>
      </c>
      <c r="T72" s="108" t="str">
        <f>IF(LEN(A72)&gt;0,M72,"")</f>
        <v/>
      </c>
      <c r="U72" s="107" t="str">
        <f>IF(LEN(A72)&gt;0,TRUE,"")</f>
        <v/>
      </c>
    </row>
    <row r="73" spans="1:21" x14ac:dyDescent="0.25">
      <c r="A73" s="109"/>
      <c r="B73" s="109"/>
      <c r="C73" s="110"/>
      <c r="D73" s="110"/>
      <c r="E73" s="110"/>
      <c r="F73" s="111"/>
      <c r="G73" s="111"/>
      <c r="H73" s="111"/>
      <c r="I73" s="112" t="str">
        <f>IF(AND(ISNUMBER(F73),ISNUMBER(G73),ISNUMBER(H73)),(65-F73)/((65-F73)+(65-G73)+(65-H73)),"")</f>
        <v/>
      </c>
      <c r="J73" s="112" t="str">
        <f>IF(AND(ISNUMBER(F73),ISNUMBER(G73),ISNUMBER(H73)),(65-G73)/((65-F73)+(65-G73)+(65-H73)),"")</f>
        <v/>
      </c>
      <c r="K73" s="112" t="str">
        <f>IF(AND(ISNUMBER(F73),ISNUMBER(G73),ISNUMBER(H73)),(65-H73)/((65-F73)+(65-G73)+(65-H73)),"")</f>
        <v/>
      </c>
      <c r="L73" s="113"/>
      <c r="M73" s="114" t="str">
        <f>IF(ISNUMBER(I73),(F73*I73*0.5)+(G73*J73*0.5)+(H73*K73*0.5)-4+L73,"")</f>
        <v/>
      </c>
      <c r="O73" s="107" t="str">
        <f>IF(LEN(A73)&gt;0,A73,"")</f>
        <v/>
      </c>
      <c r="P73" s="107" t="str">
        <f>IF(LEN(A73)&gt;0,C73,"")</f>
        <v/>
      </c>
      <c r="Q73" s="107" t="str">
        <f>IF(LEN(A73)&gt;2,D73,"")</f>
        <v/>
      </c>
      <c r="R73" s="107" t="str">
        <f>IF(LEN(A73)&gt;2,E73,"")</f>
        <v/>
      </c>
      <c r="S73" s="107" t="str">
        <f>IF(LEN(A73)&gt;2,B73,"")</f>
        <v/>
      </c>
      <c r="T73" s="108" t="str">
        <f>IF(LEN(A73)&gt;0,M73,"")</f>
        <v/>
      </c>
      <c r="U73" s="107" t="str">
        <f>IF(LEN(A73)&gt;0,TRUE,"")</f>
        <v/>
      </c>
    </row>
    <row r="74" spans="1:21" x14ac:dyDescent="0.25">
      <c r="A74" s="109"/>
      <c r="B74" s="109"/>
      <c r="C74" s="110"/>
      <c r="D74" s="110"/>
      <c r="E74" s="110"/>
      <c r="F74" s="111"/>
      <c r="G74" s="111"/>
      <c r="H74" s="111"/>
      <c r="I74" s="112" t="str">
        <f>IF(AND(ISNUMBER(F74),ISNUMBER(G74),ISNUMBER(H74)),(65-F74)/((65-F74)+(65-G74)+(65-H74)),"")</f>
        <v/>
      </c>
      <c r="J74" s="112" t="str">
        <f>IF(AND(ISNUMBER(F74),ISNUMBER(G74),ISNUMBER(H74)),(65-G74)/((65-F74)+(65-G74)+(65-H74)),"")</f>
        <v/>
      </c>
      <c r="K74" s="112" t="str">
        <f>IF(AND(ISNUMBER(F74),ISNUMBER(G74),ISNUMBER(H74)),(65-H74)/((65-F74)+(65-G74)+(65-H74)),"")</f>
        <v/>
      </c>
      <c r="L74" s="113"/>
      <c r="M74" s="114" t="str">
        <f>IF(ISNUMBER(I74),(F74*I74*0.5)+(G74*J74*0.5)+(H74*K74*0.5)-4+L74,"")</f>
        <v/>
      </c>
      <c r="O74" s="107" t="str">
        <f>IF(LEN(A74)&gt;0,A74,"")</f>
        <v/>
      </c>
      <c r="P74" s="107" t="str">
        <f>IF(LEN(A74)&gt;0,C74,"")</f>
        <v/>
      </c>
      <c r="Q74" s="107" t="str">
        <f>IF(LEN(A74)&gt;2,D74,"")</f>
        <v/>
      </c>
      <c r="R74" s="107" t="str">
        <f>IF(LEN(A74)&gt;2,E74,"")</f>
        <v/>
      </c>
      <c r="S74" s="107" t="str">
        <f>IF(LEN(A74)&gt;2,B74,"")</f>
        <v/>
      </c>
      <c r="T74" s="108" t="str">
        <f>IF(LEN(A74)&gt;0,M74,"")</f>
        <v/>
      </c>
      <c r="U74" s="107" t="str">
        <f>IF(LEN(A74)&gt;0,TRUE,"")</f>
        <v/>
      </c>
    </row>
    <row r="75" spans="1:21" x14ac:dyDescent="0.25">
      <c r="A75" s="109"/>
      <c r="B75" s="109"/>
      <c r="C75" s="110"/>
      <c r="D75" s="110"/>
      <c r="E75" s="110"/>
      <c r="F75" s="111"/>
      <c r="G75" s="111"/>
      <c r="H75" s="111"/>
      <c r="I75" s="112" t="str">
        <f>IF(AND(ISNUMBER(F75),ISNUMBER(G75),ISNUMBER(H75)),(65-F75)/((65-F75)+(65-G75)+(65-H75)),"")</f>
        <v/>
      </c>
      <c r="J75" s="112" t="str">
        <f>IF(AND(ISNUMBER(F75),ISNUMBER(G75),ISNUMBER(H75)),(65-G75)/((65-F75)+(65-G75)+(65-H75)),"")</f>
        <v/>
      </c>
      <c r="K75" s="112" t="str">
        <f>IF(AND(ISNUMBER(F75),ISNUMBER(G75),ISNUMBER(H75)),(65-H75)/((65-F75)+(65-G75)+(65-H75)),"")</f>
        <v/>
      </c>
      <c r="L75" s="113"/>
      <c r="M75" s="114" t="str">
        <f>IF(ISNUMBER(I75),(F75*I75*0.5)+(G75*J75*0.5)+(H75*K75*0.5)-4+L75,"")</f>
        <v/>
      </c>
      <c r="O75" s="107" t="str">
        <f>IF(LEN(A75)&gt;0,A75,"")</f>
        <v/>
      </c>
      <c r="P75" s="107" t="str">
        <f>IF(LEN(A75)&gt;0,C75,"")</f>
        <v/>
      </c>
      <c r="Q75" s="107" t="str">
        <f>IF(LEN(A75)&gt;2,D75,"")</f>
        <v/>
      </c>
      <c r="R75" s="107" t="str">
        <f>IF(LEN(A75)&gt;2,E75,"")</f>
        <v/>
      </c>
      <c r="S75" s="107" t="str">
        <f>IF(LEN(A75)&gt;2,B75,"")</f>
        <v/>
      </c>
      <c r="T75" s="108" t="str">
        <f>IF(LEN(A75)&gt;0,M75,"")</f>
        <v/>
      </c>
      <c r="U75" s="107" t="str">
        <f>IF(LEN(A75)&gt;0,TRUE,"")</f>
        <v/>
      </c>
    </row>
    <row r="76" spans="1:21" x14ac:dyDescent="0.25">
      <c r="A76" s="109"/>
      <c r="B76" s="109"/>
      <c r="C76" s="110"/>
      <c r="D76" s="110"/>
      <c r="E76" s="110"/>
      <c r="F76" s="111"/>
      <c r="G76" s="111"/>
      <c r="H76" s="111"/>
      <c r="I76" s="112" t="str">
        <f>IF(AND(ISNUMBER(F76),ISNUMBER(G76),ISNUMBER(H76)),(65-F76)/((65-F76)+(65-G76)+(65-H76)),"")</f>
        <v/>
      </c>
      <c r="J76" s="112" t="str">
        <f>IF(AND(ISNUMBER(F76),ISNUMBER(G76),ISNUMBER(H76)),(65-G76)/((65-F76)+(65-G76)+(65-H76)),"")</f>
        <v/>
      </c>
      <c r="K76" s="112" t="str">
        <f>IF(AND(ISNUMBER(F76),ISNUMBER(G76),ISNUMBER(H76)),(65-H76)/((65-F76)+(65-G76)+(65-H76)),"")</f>
        <v/>
      </c>
      <c r="L76" s="113"/>
      <c r="M76" s="114" t="str">
        <f>IF(ISNUMBER(I76),(F76*I76*0.5)+(G76*J76*0.5)+(H76*K76*0.5)-4+L76,"")</f>
        <v/>
      </c>
      <c r="O76" s="107" t="str">
        <f>IF(LEN(A76)&gt;0,A76,"")</f>
        <v/>
      </c>
      <c r="P76" s="107" t="str">
        <f>IF(LEN(A76)&gt;0,C76,"")</f>
        <v/>
      </c>
      <c r="Q76" s="107" t="str">
        <f>IF(LEN(A76)&gt;2,D76,"")</f>
        <v/>
      </c>
      <c r="R76" s="107" t="str">
        <f>IF(LEN(A76)&gt;2,E76,"")</f>
        <v/>
      </c>
      <c r="S76" s="107" t="str">
        <f>IF(LEN(A76)&gt;2,B76,"")</f>
        <v/>
      </c>
      <c r="T76" s="108" t="str">
        <f>IF(LEN(A76)&gt;0,M76,"")</f>
        <v/>
      </c>
      <c r="U76" s="107" t="str">
        <f>IF(LEN(A76)&gt;0,TRUE,"")</f>
        <v/>
      </c>
    </row>
    <row r="77" spans="1:21" x14ac:dyDescent="0.25">
      <c r="A77" s="109"/>
      <c r="B77" s="109"/>
      <c r="C77" s="110"/>
      <c r="D77" s="110"/>
      <c r="E77" s="110"/>
      <c r="F77" s="111"/>
      <c r="G77" s="111"/>
      <c r="H77" s="111"/>
      <c r="I77" s="112" t="str">
        <f>IF(AND(ISNUMBER(F77),ISNUMBER(G77),ISNUMBER(H77)),(65-F77)/((65-F77)+(65-G77)+(65-H77)),"")</f>
        <v/>
      </c>
      <c r="J77" s="112" t="str">
        <f>IF(AND(ISNUMBER(F77),ISNUMBER(G77),ISNUMBER(H77)),(65-G77)/((65-F77)+(65-G77)+(65-H77)),"")</f>
        <v/>
      </c>
      <c r="K77" s="112" t="str">
        <f>IF(AND(ISNUMBER(F77),ISNUMBER(G77),ISNUMBER(H77)),(65-H77)/((65-F77)+(65-G77)+(65-H77)),"")</f>
        <v/>
      </c>
      <c r="L77" s="113"/>
      <c r="M77" s="114" t="str">
        <f>IF(ISNUMBER(I77),(F77*I77*0.5)+(G77*J77*0.5)+(H77*K77*0.5)-4+L77,"")</f>
        <v/>
      </c>
      <c r="O77" s="107" t="str">
        <f>IF(LEN(A77)&gt;0,A77,"")</f>
        <v/>
      </c>
      <c r="P77" s="107" t="str">
        <f>IF(LEN(A77)&gt;0,C77,"")</f>
        <v/>
      </c>
      <c r="Q77" s="107" t="str">
        <f>IF(LEN(A77)&gt;2,D77,"")</f>
        <v/>
      </c>
      <c r="R77" s="107" t="str">
        <f>IF(LEN(A77)&gt;2,E77,"")</f>
        <v/>
      </c>
      <c r="S77" s="107" t="str">
        <f>IF(LEN(A77)&gt;2,B77,"")</f>
        <v/>
      </c>
      <c r="T77" s="108" t="str">
        <f>IF(LEN(A77)&gt;0,M77,"")</f>
        <v/>
      </c>
      <c r="U77" s="107" t="str">
        <f>IF(LEN(A77)&gt;0,TRUE,"")</f>
        <v/>
      </c>
    </row>
    <row r="78" spans="1:21" x14ac:dyDescent="0.25">
      <c r="A78" s="109"/>
      <c r="B78" s="109"/>
      <c r="C78" s="110"/>
      <c r="D78" s="110"/>
      <c r="E78" s="110"/>
      <c r="F78" s="111"/>
      <c r="G78" s="111"/>
      <c r="H78" s="111"/>
      <c r="I78" s="112" t="str">
        <f>IF(AND(ISNUMBER(F78),ISNUMBER(G78),ISNUMBER(H78)),(65-F78)/((65-F78)+(65-G78)+(65-H78)),"")</f>
        <v/>
      </c>
      <c r="J78" s="112" t="str">
        <f>IF(AND(ISNUMBER(F78),ISNUMBER(G78),ISNUMBER(H78)),(65-G78)/((65-F78)+(65-G78)+(65-H78)),"")</f>
        <v/>
      </c>
      <c r="K78" s="112" t="str">
        <f>IF(AND(ISNUMBER(F78),ISNUMBER(G78),ISNUMBER(H78)),(65-H78)/((65-F78)+(65-G78)+(65-H78)),"")</f>
        <v/>
      </c>
      <c r="L78" s="113"/>
      <c r="M78" s="114" t="str">
        <f>IF(ISNUMBER(I78),(F78*I78*0.5)+(G78*J78*0.5)+(H78*K78*0.5)-4+L78,"")</f>
        <v/>
      </c>
      <c r="O78" s="107" t="str">
        <f>IF(LEN(A78)&gt;0,A78,"")</f>
        <v/>
      </c>
      <c r="P78" s="107" t="str">
        <f>IF(LEN(A78)&gt;0,C78,"")</f>
        <v/>
      </c>
      <c r="Q78" s="107" t="str">
        <f>IF(LEN(A78)&gt;2,D78,"")</f>
        <v/>
      </c>
      <c r="R78" s="107" t="str">
        <f>IF(LEN(A78)&gt;2,E78,"")</f>
        <v/>
      </c>
      <c r="S78" s="107" t="str">
        <f>IF(LEN(A78)&gt;2,B78,"")</f>
        <v/>
      </c>
      <c r="T78" s="108" t="str">
        <f>IF(LEN(A78)&gt;0,M78,"")</f>
        <v/>
      </c>
      <c r="U78" s="107" t="str">
        <f>IF(LEN(A78)&gt;0,TRUE,"")</f>
        <v/>
      </c>
    </row>
    <row r="79" spans="1:21" x14ac:dyDescent="0.25">
      <c r="A79" s="109"/>
      <c r="B79" s="109"/>
      <c r="C79" s="110"/>
      <c r="D79" s="110"/>
      <c r="E79" s="110"/>
      <c r="F79" s="111"/>
      <c r="G79" s="111"/>
      <c r="H79" s="111"/>
      <c r="I79" s="112" t="str">
        <f>IF(AND(ISNUMBER(F79),ISNUMBER(G79),ISNUMBER(H79)),(65-F79)/((65-F79)+(65-G79)+(65-H79)),"")</f>
        <v/>
      </c>
      <c r="J79" s="112" t="str">
        <f>IF(AND(ISNUMBER(F79),ISNUMBER(G79),ISNUMBER(H79)),(65-G79)/((65-F79)+(65-G79)+(65-H79)),"")</f>
        <v/>
      </c>
      <c r="K79" s="112" t="str">
        <f>IF(AND(ISNUMBER(F79),ISNUMBER(G79),ISNUMBER(H79)),(65-H79)/((65-F79)+(65-G79)+(65-H79)),"")</f>
        <v/>
      </c>
      <c r="L79" s="113"/>
      <c r="M79" s="114" t="str">
        <f>IF(ISNUMBER(I79),(F79*I79*0.5)+(G79*J79*0.5)+(H79*K79*0.5)-4+L79,"")</f>
        <v/>
      </c>
      <c r="O79" s="107" t="str">
        <f>IF(LEN(A79)&gt;0,A79,"")</f>
        <v/>
      </c>
      <c r="P79" s="107" t="str">
        <f>IF(LEN(A79)&gt;0,C79,"")</f>
        <v/>
      </c>
      <c r="Q79" s="107" t="str">
        <f>IF(LEN(A79)&gt;2,D79,"")</f>
        <v/>
      </c>
      <c r="R79" s="107" t="str">
        <f>IF(LEN(A79)&gt;2,E79,"")</f>
        <v/>
      </c>
      <c r="S79" s="107" t="str">
        <f>IF(LEN(A79)&gt;2,B79,"")</f>
        <v/>
      </c>
      <c r="T79" s="108" t="str">
        <f>IF(LEN(A79)&gt;0,M79,"")</f>
        <v/>
      </c>
      <c r="U79" s="107" t="str">
        <f>IF(LEN(A79)&gt;0,TRUE,"")</f>
        <v/>
      </c>
    </row>
    <row r="80" spans="1:21" x14ac:dyDescent="0.25">
      <c r="A80" s="109"/>
      <c r="B80" s="109"/>
      <c r="C80" s="110"/>
      <c r="D80" s="110"/>
      <c r="E80" s="110"/>
      <c r="F80" s="111"/>
      <c r="G80" s="111"/>
      <c r="H80" s="111"/>
      <c r="I80" s="112" t="str">
        <f>IF(AND(ISNUMBER(F80),ISNUMBER(G80),ISNUMBER(H80)),(65-F80)/((65-F80)+(65-G80)+(65-H80)),"")</f>
        <v/>
      </c>
      <c r="J80" s="112" t="str">
        <f>IF(AND(ISNUMBER(F80),ISNUMBER(G80),ISNUMBER(H80)),(65-G80)/((65-F80)+(65-G80)+(65-H80)),"")</f>
        <v/>
      </c>
      <c r="K80" s="112" t="str">
        <f>IF(AND(ISNUMBER(F80),ISNUMBER(G80),ISNUMBER(H80)),(65-H80)/((65-F80)+(65-G80)+(65-H80)),"")</f>
        <v/>
      </c>
      <c r="L80" s="113"/>
      <c r="M80" s="114" t="str">
        <f>IF(ISNUMBER(I80),(F80*I80*0.5)+(G80*J80*0.5)+(H80*K80*0.5)-4+L80,"")</f>
        <v/>
      </c>
      <c r="O80" s="107" t="str">
        <f>IF(LEN(A80)&gt;0,A80,"")</f>
        <v/>
      </c>
      <c r="P80" s="107" t="str">
        <f>IF(LEN(A80)&gt;0,C80,"")</f>
        <v/>
      </c>
      <c r="Q80" s="107" t="str">
        <f>IF(LEN(A80)&gt;2,D80,"")</f>
        <v/>
      </c>
      <c r="R80" s="107" t="str">
        <f>IF(LEN(A80)&gt;2,E80,"")</f>
        <v/>
      </c>
      <c r="S80" s="107" t="str">
        <f>IF(LEN(A80)&gt;2,B80,"")</f>
        <v/>
      </c>
      <c r="T80" s="108" t="str">
        <f>IF(LEN(A80)&gt;0,M80,"")</f>
        <v/>
      </c>
      <c r="U80" s="107" t="str">
        <f>IF(LEN(A80)&gt;0,TRUE,"")</f>
        <v/>
      </c>
    </row>
    <row r="81" spans="1:21" x14ac:dyDescent="0.25">
      <c r="A81" s="109"/>
      <c r="B81" s="109"/>
      <c r="C81" s="110"/>
      <c r="D81" s="110"/>
      <c r="E81" s="110"/>
      <c r="F81" s="111"/>
      <c r="G81" s="111"/>
      <c r="H81" s="111"/>
      <c r="I81" s="112" t="str">
        <f>IF(AND(ISNUMBER(F81),ISNUMBER(G81),ISNUMBER(H81)),(65-F81)/((65-F81)+(65-G81)+(65-H81)),"")</f>
        <v/>
      </c>
      <c r="J81" s="112" t="str">
        <f>IF(AND(ISNUMBER(F81),ISNUMBER(G81),ISNUMBER(H81)),(65-G81)/((65-F81)+(65-G81)+(65-H81)),"")</f>
        <v/>
      </c>
      <c r="K81" s="112" t="str">
        <f>IF(AND(ISNUMBER(F81),ISNUMBER(G81),ISNUMBER(H81)),(65-H81)/((65-F81)+(65-G81)+(65-H81)),"")</f>
        <v/>
      </c>
      <c r="L81" s="113"/>
      <c r="M81" s="114" t="str">
        <f>IF(ISNUMBER(I81),(F81*I81*0.5)+(G81*J81*0.5)+(H81*K81*0.5)-4+L81,"")</f>
        <v/>
      </c>
      <c r="O81" s="107" t="str">
        <f>IF(LEN(A81)&gt;0,A81,"")</f>
        <v/>
      </c>
      <c r="P81" s="107" t="str">
        <f>IF(LEN(A81)&gt;0,C81,"")</f>
        <v/>
      </c>
      <c r="Q81" s="107" t="str">
        <f>IF(LEN(A81)&gt;2,D81,"")</f>
        <v/>
      </c>
      <c r="R81" s="107" t="str">
        <f>IF(LEN(A81)&gt;2,E81,"")</f>
        <v/>
      </c>
      <c r="S81" s="107" t="str">
        <f>IF(LEN(A81)&gt;2,B81,"")</f>
        <v/>
      </c>
      <c r="T81" s="108" t="str">
        <f>IF(LEN(A81)&gt;0,M81,"")</f>
        <v/>
      </c>
      <c r="U81" s="107" t="str">
        <f>IF(LEN(A81)&gt;0,TRUE,"")</f>
        <v/>
      </c>
    </row>
    <row r="82" spans="1:21" x14ac:dyDescent="0.25">
      <c r="A82" s="109"/>
      <c r="B82" s="109"/>
      <c r="C82" s="110"/>
      <c r="D82" s="110"/>
      <c r="E82" s="110"/>
      <c r="F82" s="111"/>
      <c r="G82" s="111"/>
      <c r="H82" s="111"/>
      <c r="I82" s="112" t="str">
        <f>IF(AND(ISNUMBER(F82),ISNUMBER(G82),ISNUMBER(H82)),(65-F82)/((65-F82)+(65-G82)+(65-H82)),"")</f>
        <v/>
      </c>
      <c r="J82" s="112" t="str">
        <f>IF(AND(ISNUMBER(F82),ISNUMBER(G82),ISNUMBER(H82)),(65-G82)/((65-F82)+(65-G82)+(65-H82)),"")</f>
        <v/>
      </c>
      <c r="K82" s="112" t="str">
        <f>IF(AND(ISNUMBER(F82),ISNUMBER(G82),ISNUMBER(H82)),(65-H82)/((65-F82)+(65-G82)+(65-H82)),"")</f>
        <v/>
      </c>
      <c r="L82" s="113"/>
      <c r="M82" s="114" t="str">
        <f>IF(ISNUMBER(I82),(F82*I82*0.5)+(G82*J82*0.5)+(H82*K82*0.5)-4+L82,"")</f>
        <v/>
      </c>
      <c r="O82" s="107" t="str">
        <f>IF(LEN(A82)&gt;0,A82,"")</f>
        <v/>
      </c>
      <c r="P82" s="107" t="str">
        <f>IF(LEN(A82)&gt;0,C82,"")</f>
        <v/>
      </c>
      <c r="Q82" s="107" t="str">
        <f>IF(LEN(A82)&gt;2,D82,"")</f>
        <v/>
      </c>
      <c r="R82" s="107" t="str">
        <f>IF(LEN(A82)&gt;2,E82,"")</f>
        <v/>
      </c>
      <c r="S82" s="107" t="str">
        <f>IF(LEN(A82)&gt;2,B82,"")</f>
        <v/>
      </c>
      <c r="T82" s="108" t="str">
        <f>IF(LEN(A82)&gt;0,M82,"")</f>
        <v/>
      </c>
      <c r="U82" s="107" t="str">
        <f>IF(LEN(A82)&gt;0,TRUE,"")</f>
        <v/>
      </c>
    </row>
    <row r="83" spans="1:21" x14ac:dyDescent="0.25">
      <c r="A83" s="109"/>
      <c r="B83" s="109"/>
      <c r="C83" s="110"/>
      <c r="D83" s="110"/>
      <c r="E83" s="110"/>
      <c r="F83" s="111"/>
      <c r="G83" s="111"/>
      <c r="H83" s="111"/>
      <c r="I83" s="112" t="str">
        <f>IF(AND(ISNUMBER(F83),ISNUMBER(G83),ISNUMBER(H83)),(65-F83)/((65-F83)+(65-G83)+(65-H83)),"")</f>
        <v/>
      </c>
      <c r="J83" s="112" t="str">
        <f>IF(AND(ISNUMBER(F83),ISNUMBER(G83),ISNUMBER(H83)),(65-G83)/((65-F83)+(65-G83)+(65-H83)),"")</f>
        <v/>
      </c>
      <c r="K83" s="112" t="str">
        <f>IF(AND(ISNUMBER(F83),ISNUMBER(G83),ISNUMBER(H83)),(65-H83)/((65-F83)+(65-G83)+(65-H83)),"")</f>
        <v/>
      </c>
      <c r="L83" s="113"/>
      <c r="M83" s="114" t="str">
        <f>IF(ISNUMBER(I83),(F83*I83*0.5)+(G83*J83*0.5)+(H83*K83*0.5)-4+L83,"")</f>
        <v/>
      </c>
      <c r="O83" s="107" t="str">
        <f>IF(LEN(A83)&gt;0,A83,"")</f>
        <v/>
      </c>
      <c r="P83" s="107" t="str">
        <f>IF(LEN(A83)&gt;0,C83,"")</f>
        <v/>
      </c>
      <c r="Q83" s="107" t="str">
        <f>IF(LEN(A83)&gt;2,D83,"")</f>
        <v/>
      </c>
      <c r="R83" s="107" t="str">
        <f>IF(LEN(A83)&gt;2,E83,"")</f>
        <v/>
      </c>
      <c r="S83" s="107" t="str">
        <f>IF(LEN(A83)&gt;2,B83,"")</f>
        <v/>
      </c>
      <c r="T83" s="108" t="str">
        <f>IF(LEN(A83)&gt;0,M83,"")</f>
        <v/>
      </c>
      <c r="U83" s="107" t="str">
        <f>IF(LEN(A83)&gt;0,TRUE,"")</f>
        <v/>
      </c>
    </row>
    <row r="84" spans="1:21" x14ac:dyDescent="0.25">
      <c r="A84" s="109"/>
      <c r="B84" s="109"/>
      <c r="C84" s="110"/>
      <c r="D84" s="110"/>
      <c r="E84" s="110"/>
      <c r="F84" s="111"/>
      <c r="G84" s="111"/>
      <c r="H84" s="111"/>
      <c r="I84" s="112" t="str">
        <f>IF(AND(ISNUMBER(F84),ISNUMBER(G84),ISNUMBER(H84)),(65-F84)/((65-F84)+(65-G84)+(65-H84)),"")</f>
        <v/>
      </c>
      <c r="J84" s="112" t="str">
        <f>IF(AND(ISNUMBER(F84),ISNUMBER(G84),ISNUMBER(H84)),(65-G84)/((65-F84)+(65-G84)+(65-H84)),"")</f>
        <v/>
      </c>
      <c r="K84" s="112" t="str">
        <f>IF(AND(ISNUMBER(F84),ISNUMBER(G84),ISNUMBER(H84)),(65-H84)/((65-F84)+(65-G84)+(65-H84)),"")</f>
        <v/>
      </c>
      <c r="L84" s="113"/>
      <c r="M84" s="114" t="str">
        <f>IF(ISNUMBER(I84),(F84*I84*0.5)+(G84*J84*0.5)+(H84*K84*0.5)-4+L84,"")</f>
        <v/>
      </c>
      <c r="O84" s="107" t="str">
        <f>IF(LEN(A84)&gt;0,A84,"")</f>
        <v/>
      </c>
      <c r="P84" s="107" t="str">
        <f>IF(LEN(A84)&gt;0,C84,"")</f>
        <v/>
      </c>
      <c r="Q84" s="107" t="str">
        <f>IF(LEN(A84)&gt;2,D84,"")</f>
        <v/>
      </c>
      <c r="R84" s="107" t="str">
        <f>IF(LEN(A84)&gt;2,E84,"")</f>
        <v/>
      </c>
      <c r="S84" s="107" t="str">
        <f>IF(LEN(A84)&gt;2,B84,"")</f>
        <v/>
      </c>
      <c r="T84" s="108" t="str">
        <f>IF(LEN(A84)&gt;0,M84,"")</f>
        <v/>
      </c>
      <c r="U84" s="107" t="str">
        <f>IF(LEN(A84)&gt;0,TRUE,"")</f>
        <v/>
      </c>
    </row>
    <row r="85" spans="1:21" x14ac:dyDescent="0.25">
      <c r="A85" s="109"/>
      <c r="B85" s="109"/>
      <c r="C85" s="110"/>
      <c r="D85" s="110"/>
      <c r="E85" s="110"/>
      <c r="F85" s="111"/>
      <c r="G85" s="111"/>
      <c r="H85" s="111"/>
      <c r="I85" s="112" t="str">
        <f>IF(AND(ISNUMBER(F85),ISNUMBER(G85),ISNUMBER(H85)),(65-F85)/((65-F85)+(65-G85)+(65-H85)),"")</f>
        <v/>
      </c>
      <c r="J85" s="112" t="str">
        <f>IF(AND(ISNUMBER(F85),ISNUMBER(G85),ISNUMBER(H85)),(65-G85)/((65-F85)+(65-G85)+(65-H85)),"")</f>
        <v/>
      </c>
      <c r="K85" s="112" t="str">
        <f>IF(AND(ISNUMBER(F85),ISNUMBER(G85),ISNUMBER(H85)),(65-H85)/((65-F85)+(65-G85)+(65-H85)),"")</f>
        <v/>
      </c>
      <c r="L85" s="113"/>
      <c r="M85" s="114" t="str">
        <f>IF(ISNUMBER(I85),(F85*I85*0.5)+(G85*J85*0.5)+(H85*K85*0.5)-4+L85,"")</f>
        <v/>
      </c>
      <c r="O85" s="107" t="str">
        <f>IF(LEN(A85)&gt;0,A85,"")</f>
        <v/>
      </c>
      <c r="P85" s="107" t="str">
        <f>IF(LEN(A85)&gt;0,C85,"")</f>
        <v/>
      </c>
      <c r="Q85" s="107" t="str">
        <f>IF(LEN(A85)&gt;2,D85,"")</f>
        <v/>
      </c>
      <c r="R85" s="107" t="str">
        <f>IF(LEN(A85)&gt;2,E85,"")</f>
        <v/>
      </c>
      <c r="S85" s="107" t="str">
        <f>IF(LEN(A85)&gt;2,B85,"")</f>
        <v/>
      </c>
      <c r="T85" s="108" t="str">
        <f>IF(LEN(A85)&gt;0,M85,"")</f>
        <v/>
      </c>
      <c r="U85" s="107" t="str">
        <f>IF(LEN(A85)&gt;0,TRUE,"")</f>
        <v/>
      </c>
    </row>
    <row r="86" spans="1:21" x14ac:dyDescent="0.25">
      <c r="A86" s="109"/>
      <c r="B86" s="109"/>
      <c r="C86" s="110"/>
      <c r="D86" s="110"/>
      <c r="E86" s="110"/>
      <c r="F86" s="111"/>
      <c r="G86" s="111"/>
      <c r="H86" s="111"/>
      <c r="I86" s="112" t="str">
        <f>IF(AND(ISNUMBER(F86),ISNUMBER(G86),ISNUMBER(H86)),(65-F86)/((65-F86)+(65-G86)+(65-H86)),"")</f>
        <v/>
      </c>
      <c r="J86" s="112" t="str">
        <f>IF(AND(ISNUMBER(F86),ISNUMBER(G86),ISNUMBER(H86)),(65-G86)/((65-F86)+(65-G86)+(65-H86)),"")</f>
        <v/>
      </c>
      <c r="K86" s="112" t="str">
        <f>IF(AND(ISNUMBER(F86),ISNUMBER(G86),ISNUMBER(H86)),(65-H86)/((65-F86)+(65-G86)+(65-H86)),"")</f>
        <v/>
      </c>
      <c r="L86" s="113"/>
      <c r="M86" s="114" t="str">
        <f>IF(ISNUMBER(I86),(F86*I86*0.5)+(G86*J86*0.5)+(H86*K86*0.5)-4+L86,"")</f>
        <v/>
      </c>
      <c r="O86" s="107" t="str">
        <f>IF(LEN(A86)&gt;0,A86,"")</f>
        <v/>
      </c>
      <c r="P86" s="107" t="str">
        <f>IF(LEN(A86)&gt;0,C86,"")</f>
        <v/>
      </c>
      <c r="Q86" s="107" t="str">
        <f>IF(LEN(A86)&gt;2,D86,"")</f>
        <v/>
      </c>
      <c r="R86" s="107" t="str">
        <f>IF(LEN(A86)&gt;2,E86,"")</f>
        <v/>
      </c>
      <c r="S86" s="107" t="str">
        <f>IF(LEN(A86)&gt;2,B86,"")</f>
        <v/>
      </c>
      <c r="T86" s="108" t="str">
        <f>IF(LEN(A86)&gt;0,M86,"")</f>
        <v/>
      </c>
      <c r="U86" s="107" t="str">
        <f>IF(LEN(A86)&gt;0,TRUE,"")</f>
        <v/>
      </c>
    </row>
    <row r="87" spans="1:21" x14ac:dyDescent="0.25">
      <c r="A87" s="109"/>
      <c r="B87" s="109"/>
      <c r="C87" s="110"/>
      <c r="D87" s="110"/>
      <c r="E87" s="110"/>
      <c r="F87" s="111"/>
      <c r="G87" s="111"/>
      <c r="H87" s="111"/>
      <c r="I87" s="112" t="str">
        <f>IF(AND(ISNUMBER(F87),ISNUMBER(G87),ISNUMBER(H87)),(65-F87)/((65-F87)+(65-G87)+(65-H87)),"")</f>
        <v/>
      </c>
      <c r="J87" s="112" t="str">
        <f>IF(AND(ISNUMBER(F87),ISNUMBER(G87),ISNUMBER(H87)),(65-G87)/((65-F87)+(65-G87)+(65-H87)),"")</f>
        <v/>
      </c>
      <c r="K87" s="112" t="str">
        <f>IF(AND(ISNUMBER(F87),ISNUMBER(G87),ISNUMBER(H87)),(65-H87)/((65-F87)+(65-G87)+(65-H87)),"")</f>
        <v/>
      </c>
      <c r="L87" s="113"/>
      <c r="M87" s="114" t="str">
        <f>IF(ISNUMBER(I87),(F87*I87*0.5)+(G87*J87*0.5)+(H87*K87*0.5)-4+L87,"")</f>
        <v/>
      </c>
      <c r="O87" s="107" t="str">
        <f>IF(LEN(A87)&gt;0,A87,"")</f>
        <v/>
      </c>
      <c r="P87" s="107" t="str">
        <f>IF(LEN(A87)&gt;0,C87,"")</f>
        <v/>
      </c>
      <c r="Q87" s="107" t="str">
        <f>IF(LEN(A87)&gt;2,D87,"")</f>
        <v/>
      </c>
      <c r="R87" s="107" t="str">
        <f>IF(LEN(A87)&gt;2,E87,"")</f>
        <v/>
      </c>
      <c r="S87" s="107" t="str">
        <f>IF(LEN(A87)&gt;2,B87,"")</f>
        <v/>
      </c>
      <c r="T87" s="108" t="str">
        <f>IF(LEN(A87)&gt;0,M87,"")</f>
        <v/>
      </c>
      <c r="U87" s="107" t="str">
        <f>IF(LEN(A87)&gt;0,TRUE,"")</f>
        <v/>
      </c>
    </row>
    <row r="88" spans="1:21" x14ac:dyDescent="0.25">
      <c r="A88" s="109"/>
      <c r="B88" s="109"/>
      <c r="C88" s="110"/>
      <c r="D88" s="110"/>
      <c r="E88" s="110"/>
      <c r="F88" s="111"/>
      <c r="G88" s="111"/>
      <c r="H88" s="111"/>
      <c r="I88" s="112" t="str">
        <f>IF(AND(ISNUMBER(F88),ISNUMBER(G88),ISNUMBER(H88)),(65-F88)/((65-F88)+(65-G88)+(65-H88)),"")</f>
        <v/>
      </c>
      <c r="J88" s="112" t="str">
        <f>IF(AND(ISNUMBER(F88),ISNUMBER(G88),ISNUMBER(H88)),(65-G88)/((65-F88)+(65-G88)+(65-H88)),"")</f>
        <v/>
      </c>
      <c r="K88" s="112" t="str">
        <f>IF(AND(ISNUMBER(F88),ISNUMBER(G88),ISNUMBER(H88)),(65-H88)/((65-F88)+(65-G88)+(65-H88)),"")</f>
        <v/>
      </c>
      <c r="L88" s="113"/>
      <c r="M88" s="114" t="str">
        <f>IF(ISNUMBER(I88),(F88*I88*0.5)+(G88*J88*0.5)+(H88*K88*0.5)-4+L88,"")</f>
        <v/>
      </c>
      <c r="O88" s="107" t="str">
        <f>IF(LEN(A88)&gt;0,A88,"")</f>
        <v/>
      </c>
      <c r="P88" s="107" t="str">
        <f>IF(LEN(A88)&gt;0,C88,"")</f>
        <v/>
      </c>
      <c r="Q88" s="107" t="str">
        <f>IF(LEN(A88)&gt;2,D88,"")</f>
        <v/>
      </c>
      <c r="R88" s="107" t="str">
        <f>IF(LEN(A88)&gt;2,E88,"")</f>
        <v/>
      </c>
      <c r="S88" s="107" t="str">
        <f>IF(LEN(A88)&gt;2,B88,"")</f>
        <v/>
      </c>
      <c r="T88" s="108" t="str">
        <f>IF(LEN(A88)&gt;0,M88,"")</f>
        <v/>
      </c>
      <c r="U88" s="107" t="str">
        <f>IF(LEN(A88)&gt;0,TRUE,"")</f>
        <v/>
      </c>
    </row>
    <row r="89" spans="1:21" x14ac:dyDescent="0.25">
      <c r="A89" s="109"/>
      <c r="B89" s="109"/>
      <c r="C89" s="110"/>
      <c r="D89" s="110"/>
      <c r="E89" s="110"/>
      <c r="F89" s="111"/>
      <c r="G89" s="111"/>
      <c r="H89" s="111"/>
      <c r="I89" s="112" t="str">
        <f>IF(AND(ISNUMBER(F89),ISNUMBER(G89),ISNUMBER(H89)),(65-F89)/((65-F89)+(65-G89)+(65-H89)),"")</f>
        <v/>
      </c>
      <c r="J89" s="112" t="str">
        <f>IF(AND(ISNUMBER(F89),ISNUMBER(G89),ISNUMBER(H89)),(65-G89)/((65-F89)+(65-G89)+(65-H89)),"")</f>
        <v/>
      </c>
      <c r="K89" s="112" t="str">
        <f>IF(AND(ISNUMBER(F89),ISNUMBER(G89),ISNUMBER(H89)),(65-H89)/((65-F89)+(65-G89)+(65-H89)),"")</f>
        <v/>
      </c>
      <c r="L89" s="113"/>
      <c r="M89" s="114" t="str">
        <f>IF(ISNUMBER(I89),(F89*I89*0.5)+(G89*J89*0.5)+(H89*K89*0.5)-4+L89,"")</f>
        <v/>
      </c>
      <c r="O89" s="107" t="str">
        <f>IF(LEN(A89)&gt;0,A89,"")</f>
        <v/>
      </c>
      <c r="P89" s="107" t="str">
        <f>IF(LEN(A89)&gt;0,C89,"")</f>
        <v/>
      </c>
      <c r="Q89" s="107" t="str">
        <f>IF(LEN(A89)&gt;2,D89,"")</f>
        <v/>
      </c>
      <c r="R89" s="107" t="str">
        <f>IF(LEN(A89)&gt;2,E89,"")</f>
        <v/>
      </c>
      <c r="S89" s="107" t="str">
        <f>IF(LEN(A89)&gt;2,B89,"")</f>
        <v/>
      </c>
      <c r="T89" s="108" t="str">
        <f>IF(LEN(A89)&gt;0,M89,"")</f>
        <v/>
      </c>
      <c r="U89" s="107" t="str">
        <f>IF(LEN(A89)&gt;0,TRUE,"")</f>
        <v/>
      </c>
    </row>
    <row r="90" spans="1:21" x14ac:dyDescent="0.25">
      <c r="I90" s="54" t="str">
        <f>IF(AND(ISNUMBER(F90),ISNUMBER(G90),ISNUMBER(H90)),(65-F90)/((65-F90)+(65-G90)+(65-H90)),"")</f>
        <v/>
      </c>
      <c r="J90" s="54" t="str">
        <f>IF(AND(ISNUMBER(F90),ISNUMBER(G90),ISNUMBER(H90)),(65-G90)/((65-F90)+(65-G90)+(65-H90)),"")</f>
        <v/>
      </c>
      <c r="K90" s="54" t="str">
        <f>IF(AND(ISNUMBER(F90),ISNUMBER(G90),ISNUMBER(H90)),(65-H90)/((65-F90)+(65-G90)+(65-H90)),"")</f>
        <v/>
      </c>
      <c r="M90" s="55" t="str">
        <f>IF(ISNUMBER(I90),(F90*I90*0.5)+(G90*J90*0.5)+(H90*K90*0.5)-4+L90,"")</f>
        <v/>
      </c>
      <c r="O90" t="str">
        <f>IF(LEN(A90)&gt;0,A90,"")</f>
        <v/>
      </c>
      <c r="P90" t="str">
        <f>IF(LEN(A90)&gt;0,C90,"")</f>
        <v/>
      </c>
      <c r="Q90" t="str">
        <f>IF(LEN(A90)&gt;2,D90,"")</f>
        <v/>
      </c>
      <c r="R90" t="str">
        <f>IF(LEN(A90)&gt;2,E90,"")</f>
        <v/>
      </c>
      <c r="S90" t="str">
        <f>IF(LEN(A90)&gt;2,B90,"")</f>
        <v/>
      </c>
      <c r="T90" s="101" t="str">
        <f>IF(LEN(A90)&gt;0,M90,"")</f>
        <v/>
      </c>
      <c r="U90" t="str">
        <f>IF(LEN(A90)&gt;0,TRUE,"")</f>
        <v/>
      </c>
    </row>
    <row r="91" spans="1:21" x14ac:dyDescent="0.25">
      <c r="I91" s="54" t="str">
        <f>IF(AND(ISNUMBER(F91),ISNUMBER(G91),ISNUMBER(H91)),(65-F91)/((65-F91)+(65-G91)+(65-H91)),"")</f>
        <v/>
      </c>
      <c r="J91" s="54" t="str">
        <f>IF(AND(ISNUMBER(F91),ISNUMBER(G91),ISNUMBER(H91)),(65-G91)/((65-F91)+(65-G91)+(65-H91)),"")</f>
        <v/>
      </c>
      <c r="K91" s="54" t="str">
        <f>IF(AND(ISNUMBER(F91),ISNUMBER(G91),ISNUMBER(H91)),(65-H91)/((65-F91)+(65-G91)+(65-H91)),"")</f>
        <v/>
      </c>
      <c r="M91" s="55" t="str">
        <f>IF(ISNUMBER(I91),(F91*I91*0.5)+(G91*J91*0.5)+(H91*K91*0.5)-4+L91,"")</f>
        <v/>
      </c>
      <c r="O91" t="str">
        <f>IF(LEN(A91)&gt;0,A91,"")</f>
        <v/>
      </c>
      <c r="P91" t="str">
        <f>IF(LEN(A91)&gt;0,C91,"")</f>
        <v/>
      </c>
      <c r="Q91" t="str">
        <f>IF(LEN(A91)&gt;2,D91,"")</f>
        <v/>
      </c>
      <c r="R91" t="str">
        <f>IF(LEN(A91)&gt;2,E91,"")</f>
        <v/>
      </c>
      <c r="S91" t="str">
        <f>IF(LEN(A91)&gt;2,B91,"")</f>
        <v/>
      </c>
      <c r="T91" s="101" t="str">
        <f>IF(LEN(A91)&gt;0,M91,"")</f>
        <v/>
      </c>
      <c r="U91" t="str">
        <f>IF(LEN(A91)&gt;0,TRUE,"")</f>
        <v/>
      </c>
    </row>
    <row r="92" spans="1:21" x14ac:dyDescent="0.25">
      <c r="I92" s="54" t="str">
        <f>IF(AND(ISNUMBER(F92),ISNUMBER(G92),ISNUMBER(H92)),(65-F92)/((65-F92)+(65-G92)+(65-H92)),"")</f>
        <v/>
      </c>
      <c r="J92" s="54" t="str">
        <f>IF(AND(ISNUMBER(F92),ISNUMBER(G92),ISNUMBER(H92)),(65-G92)/((65-F92)+(65-G92)+(65-H92)),"")</f>
        <v/>
      </c>
      <c r="K92" s="54" t="str">
        <f>IF(AND(ISNUMBER(F92),ISNUMBER(G92),ISNUMBER(H92)),(65-H92)/((65-F92)+(65-G92)+(65-H92)),"")</f>
        <v/>
      </c>
      <c r="M92" s="55" t="str">
        <f>IF(ISNUMBER(I92),(F92*I92*0.5)+(G92*J92*0.5)+(H92*K92*0.5)-4+L92,"")</f>
        <v/>
      </c>
      <c r="O92" t="str">
        <f>IF(LEN(A92)&gt;0,A92,"")</f>
        <v/>
      </c>
      <c r="P92" t="str">
        <f>IF(LEN(A92)&gt;0,C92,"")</f>
        <v/>
      </c>
      <c r="Q92" t="str">
        <f>IF(LEN(A92)&gt;2,D92,"")</f>
        <v/>
      </c>
      <c r="R92" t="str">
        <f>IF(LEN(A92)&gt;2,E92,"")</f>
        <v/>
      </c>
      <c r="S92" t="str">
        <f>IF(LEN(A92)&gt;2,B92,"")</f>
        <v/>
      </c>
      <c r="T92" s="101" t="str">
        <f>IF(LEN(A92)&gt;0,M92,"")</f>
        <v/>
      </c>
      <c r="U92" t="str">
        <f>IF(LEN(A92)&gt;0,TRUE,"")</f>
        <v/>
      </c>
    </row>
    <row r="93" spans="1:21" x14ac:dyDescent="0.25">
      <c r="I93" s="54" t="str">
        <f>IF(AND(ISNUMBER(F93),ISNUMBER(G93),ISNUMBER(H93)),(65-F93)/((65-F93)+(65-G93)+(65-H93)),"")</f>
        <v/>
      </c>
      <c r="J93" s="54" t="str">
        <f>IF(AND(ISNUMBER(F93),ISNUMBER(G93),ISNUMBER(H93)),(65-G93)/((65-F93)+(65-G93)+(65-H93)),"")</f>
        <v/>
      </c>
      <c r="K93" s="54" t="str">
        <f>IF(AND(ISNUMBER(F93),ISNUMBER(G93),ISNUMBER(H93)),(65-H93)/((65-F93)+(65-G93)+(65-H93)),"")</f>
        <v/>
      </c>
      <c r="M93" s="55" t="str">
        <f>IF(ISNUMBER(I93),(F93*I93*0.5)+(G93*J93*0.5)+(H93*K93*0.5)-4+L93,"")</f>
        <v/>
      </c>
      <c r="O93" t="str">
        <f>IF(LEN(A93)&gt;0,A93,"")</f>
        <v/>
      </c>
      <c r="P93" t="str">
        <f>IF(LEN(A93)&gt;0,C93,"")</f>
        <v/>
      </c>
      <c r="Q93" t="str">
        <f>IF(LEN(A93)&gt;2,D93,"")</f>
        <v/>
      </c>
      <c r="R93" t="str">
        <f>IF(LEN(A93)&gt;2,E93,"")</f>
        <v/>
      </c>
      <c r="S93" t="str">
        <f>IF(LEN(A93)&gt;2,B93,"")</f>
        <v/>
      </c>
      <c r="T93" s="101" t="str">
        <f>IF(LEN(A93)&gt;0,M93,"")</f>
        <v/>
      </c>
      <c r="U93" t="str">
        <f>IF(LEN(A93)&gt;0,TRUE,"")</f>
        <v/>
      </c>
    </row>
    <row r="94" spans="1:21" x14ac:dyDescent="0.25">
      <c r="I94" s="54" t="str">
        <f>IF(AND(ISNUMBER(F94),ISNUMBER(G94),ISNUMBER(H94)),(65-F94)/((65-F94)+(65-G94)+(65-H94)),"")</f>
        <v/>
      </c>
      <c r="J94" s="54" t="str">
        <f>IF(AND(ISNUMBER(F94),ISNUMBER(G94),ISNUMBER(H94)),(65-G94)/((65-F94)+(65-G94)+(65-H94)),"")</f>
        <v/>
      </c>
      <c r="K94" s="54" t="str">
        <f>IF(AND(ISNUMBER(F94),ISNUMBER(G94),ISNUMBER(H94)),(65-H94)/((65-F94)+(65-G94)+(65-H94)),"")</f>
        <v/>
      </c>
      <c r="M94" s="55" t="str">
        <f>IF(ISNUMBER(I94),(F94*I94*0.5)+(G94*J94*0.5)+(H94*K94*0.5)-4+L94,"")</f>
        <v/>
      </c>
      <c r="O94" t="str">
        <f>IF(LEN(A94)&gt;0,A94,"")</f>
        <v/>
      </c>
      <c r="P94" t="str">
        <f>IF(LEN(A94)&gt;0,C94,"")</f>
        <v/>
      </c>
      <c r="Q94" t="str">
        <f>IF(LEN(A94)&gt;2,D94,"")</f>
        <v/>
      </c>
      <c r="R94" t="str">
        <f>IF(LEN(A94)&gt;2,E94,"")</f>
        <v/>
      </c>
      <c r="S94" t="str">
        <f>IF(LEN(A94)&gt;2,B94,"")</f>
        <v/>
      </c>
      <c r="T94" s="101" t="str">
        <f>IF(LEN(A94)&gt;0,M94,"")</f>
        <v/>
      </c>
      <c r="U94" t="str">
        <f>IF(LEN(A94)&gt;0,TRUE,"")</f>
        <v/>
      </c>
    </row>
    <row r="95" spans="1:21" x14ac:dyDescent="0.25">
      <c r="I95" s="54" t="str">
        <f>IF(AND(ISNUMBER(F95),ISNUMBER(G95),ISNUMBER(H95)),(65-F95)/((65-F95)+(65-G95)+(65-H95)),"")</f>
        <v/>
      </c>
      <c r="J95" s="54" t="str">
        <f>IF(AND(ISNUMBER(F95),ISNUMBER(G95),ISNUMBER(H95)),(65-G95)/((65-F95)+(65-G95)+(65-H95)),"")</f>
        <v/>
      </c>
      <c r="K95" s="54" t="str">
        <f>IF(AND(ISNUMBER(F95),ISNUMBER(G95),ISNUMBER(H95)),(65-H95)/((65-F95)+(65-G95)+(65-H95)),"")</f>
        <v/>
      </c>
      <c r="M95" s="55" t="str">
        <f>IF(ISNUMBER(I95),(F95*I95*0.5)+(G95*J95*0.5)+(H95*K95*0.5)-4+L95,"")</f>
        <v/>
      </c>
      <c r="O95" t="str">
        <f>IF(LEN(A95)&gt;0,A95,"")</f>
        <v/>
      </c>
      <c r="P95" t="str">
        <f>IF(LEN(A95)&gt;0,C95,"")</f>
        <v/>
      </c>
      <c r="Q95" t="str">
        <f>IF(LEN(A95)&gt;2,D95,"")</f>
        <v/>
      </c>
      <c r="R95" t="str">
        <f>IF(LEN(A95)&gt;2,E95,"")</f>
        <v/>
      </c>
      <c r="S95" t="str">
        <f>IF(LEN(A95)&gt;2,B95,"")</f>
        <v/>
      </c>
      <c r="T95" s="101" t="str">
        <f>IF(LEN(A95)&gt;0,M95,"")</f>
        <v/>
      </c>
      <c r="U95" t="str">
        <f>IF(LEN(A95)&gt;0,TRUE,"")</f>
        <v/>
      </c>
    </row>
    <row r="96" spans="1:21" x14ac:dyDescent="0.25">
      <c r="I96" s="54" t="str">
        <f>IF(AND(ISNUMBER(F96),ISNUMBER(G96),ISNUMBER(H96)),(65-F96)/((65-F96)+(65-G96)+(65-H96)),"")</f>
        <v/>
      </c>
      <c r="J96" s="54" t="str">
        <f>IF(AND(ISNUMBER(F96),ISNUMBER(G96),ISNUMBER(H96)),(65-G96)/((65-F96)+(65-G96)+(65-H96)),"")</f>
        <v/>
      </c>
      <c r="K96" s="54" t="str">
        <f>IF(AND(ISNUMBER(F96),ISNUMBER(G96),ISNUMBER(H96)),(65-H96)/((65-F96)+(65-G96)+(65-H96)),"")</f>
        <v/>
      </c>
      <c r="M96" s="55" t="str">
        <f>IF(ISNUMBER(I96),(F96*I96*0.5)+(G96*J96*0.5)+(H96*K96*0.5)-4+L96,"")</f>
        <v/>
      </c>
      <c r="O96" t="str">
        <f>IF(LEN(A96)&gt;0,A96,"")</f>
        <v/>
      </c>
      <c r="P96" t="str">
        <f>IF(LEN(A96)&gt;0,C96,"")</f>
        <v/>
      </c>
      <c r="Q96" t="str">
        <f>IF(LEN(A96)&gt;2,D96,"")</f>
        <v/>
      </c>
      <c r="R96" t="str">
        <f>IF(LEN(A96)&gt;2,E96,"")</f>
        <v/>
      </c>
      <c r="S96" t="str">
        <f>IF(LEN(A96)&gt;2,B96,"")</f>
        <v/>
      </c>
      <c r="T96" s="101" t="str">
        <f>IF(LEN(A96)&gt;0,M96,"")</f>
        <v/>
      </c>
      <c r="U96" t="str">
        <f>IF(LEN(A96)&gt;0,TRUE,"")</f>
        <v/>
      </c>
    </row>
    <row r="97" spans="9:21" x14ac:dyDescent="0.25">
      <c r="I97" s="54" t="str">
        <f>IF(AND(ISNUMBER(F97),ISNUMBER(G97),ISNUMBER(H97)),(65-F97)/((65-F97)+(65-G97)+(65-H97)),"")</f>
        <v/>
      </c>
      <c r="J97" s="54" t="str">
        <f>IF(AND(ISNUMBER(F97),ISNUMBER(G97),ISNUMBER(H97)),(65-G97)/((65-F97)+(65-G97)+(65-H97)),"")</f>
        <v/>
      </c>
      <c r="K97" s="54" t="str">
        <f>IF(AND(ISNUMBER(F97),ISNUMBER(G97),ISNUMBER(H97)),(65-H97)/((65-F97)+(65-G97)+(65-H97)),"")</f>
        <v/>
      </c>
      <c r="M97" s="55" t="str">
        <f>IF(ISNUMBER(I97),(F97*I97*0.5)+(G97*J97*0.5)+(H97*K97*0.5)-4+L97,"")</f>
        <v/>
      </c>
      <c r="O97" t="str">
        <f>IF(LEN(A97)&gt;0,A97,"")</f>
        <v/>
      </c>
      <c r="P97" t="str">
        <f>IF(LEN(A97)&gt;0,C97,"")</f>
        <v/>
      </c>
      <c r="Q97" t="str">
        <f>IF(LEN(A97)&gt;2,D97,"")</f>
        <v/>
      </c>
      <c r="R97" t="str">
        <f>IF(LEN(A97)&gt;2,E97,"")</f>
        <v/>
      </c>
      <c r="S97" t="str">
        <f>IF(LEN(A97)&gt;2,B97,"")</f>
        <v/>
      </c>
      <c r="T97" s="101" t="str">
        <f>IF(LEN(A97)&gt;0,M97,"")</f>
        <v/>
      </c>
      <c r="U97" t="str">
        <f>IF(LEN(A97)&gt;0,TRUE,"")</f>
        <v/>
      </c>
    </row>
    <row r="98" spans="9:21" x14ac:dyDescent="0.25">
      <c r="I98" s="54" t="str">
        <f>IF(AND(ISNUMBER(F98),ISNUMBER(G98),ISNUMBER(H98)),(65-F98)/((65-F98)+(65-G98)+(65-H98)),"")</f>
        <v/>
      </c>
      <c r="J98" s="54" t="str">
        <f>IF(AND(ISNUMBER(F98),ISNUMBER(G98),ISNUMBER(H98)),(65-G98)/((65-F98)+(65-G98)+(65-H98)),"")</f>
        <v/>
      </c>
      <c r="K98" s="54" t="str">
        <f>IF(AND(ISNUMBER(F98),ISNUMBER(G98),ISNUMBER(H98)),(65-H98)/((65-F98)+(65-G98)+(65-H98)),"")</f>
        <v/>
      </c>
      <c r="M98" s="55" t="str">
        <f>IF(ISNUMBER(I98),(F98*I98*0.5)+(G98*J98*0.5)+(H98*K98*0.5)-4+L98,"")</f>
        <v/>
      </c>
      <c r="O98" t="str">
        <f>IF(LEN(A98)&gt;0,A98,"")</f>
        <v/>
      </c>
      <c r="P98" t="str">
        <f>IF(LEN(A98)&gt;0,C98,"")</f>
        <v/>
      </c>
      <c r="Q98" t="str">
        <f>IF(LEN(A98)&gt;2,D98,"")</f>
        <v/>
      </c>
      <c r="R98" t="str">
        <f>IF(LEN(A98)&gt;2,E98,"")</f>
        <v/>
      </c>
      <c r="S98" t="str">
        <f>IF(LEN(A98)&gt;2,B98,"")</f>
        <v/>
      </c>
      <c r="T98" s="101" t="str">
        <f>IF(LEN(A98)&gt;0,M98,"")</f>
        <v/>
      </c>
      <c r="U98" t="str">
        <f>IF(LEN(A98)&gt;0,TRUE,"")</f>
        <v/>
      </c>
    </row>
    <row r="99" spans="9:21" x14ac:dyDescent="0.25">
      <c r="I99" s="54" t="str">
        <f>IF(AND(ISNUMBER(F99),ISNUMBER(G99),ISNUMBER(H99)),(65-F99)/((65-F99)+(65-G99)+(65-H99)),"")</f>
        <v/>
      </c>
      <c r="J99" s="54" t="str">
        <f>IF(AND(ISNUMBER(F99),ISNUMBER(G99),ISNUMBER(H99)),(65-G99)/((65-F99)+(65-G99)+(65-H99)),"")</f>
        <v/>
      </c>
      <c r="K99" s="54" t="str">
        <f>IF(AND(ISNUMBER(F99),ISNUMBER(G99),ISNUMBER(H99)),(65-H99)/((65-F99)+(65-G99)+(65-H99)),"")</f>
        <v/>
      </c>
      <c r="M99" s="55" t="str">
        <f>IF(ISNUMBER(I99),(F99*I99*0.5)+(G99*J99*0.5)+(H99*K99*0.5)-4+L99,"")</f>
        <v/>
      </c>
      <c r="O99" t="str">
        <f>IF(LEN(A99)&gt;0,A99,"")</f>
        <v/>
      </c>
      <c r="P99" t="str">
        <f>IF(LEN(A99)&gt;0,C99,"")</f>
        <v/>
      </c>
      <c r="Q99" t="str">
        <f>IF(LEN(A99)&gt;2,D99,"")</f>
        <v/>
      </c>
      <c r="R99" t="str">
        <f>IF(LEN(A99)&gt;2,E99,"")</f>
        <v/>
      </c>
      <c r="S99" t="str">
        <f>IF(LEN(A99)&gt;2,B99,"")</f>
        <v/>
      </c>
      <c r="T99" s="101" t="str">
        <f>IF(LEN(A99)&gt;0,M99,"")</f>
        <v/>
      </c>
      <c r="U99" t="str">
        <f>IF(LEN(A99)&gt;0,TRUE,"")</f>
        <v/>
      </c>
    </row>
    <row r="100" spans="9:21" x14ac:dyDescent="0.25">
      <c r="I100" s="54" t="str">
        <f>IF(AND(ISNUMBER(F100),ISNUMBER(G100),ISNUMBER(H100)),(65-F100)/((65-F100)+(65-G100)+(65-H100)),"")</f>
        <v/>
      </c>
      <c r="J100" s="54" t="str">
        <f>IF(AND(ISNUMBER(F100),ISNUMBER(G100),ISNUMBER(H100)),(65-G100)/((65-F100)+(65-G100)+(65-H100)),"")</f>
        <v/>
      </c>
      <c r="K100" s="54" t="str">
        <f>IF(AND(ISNUMBER(F100),ISNUMBER(G100),ISNUMBER(H100)),(65-H100)/((65-F100)+(65-G100)+(65-H100)),"")</f>
        <v/>
      </c>
      <c r="M100" s="55" t="str">
        <f>IF(ISNUMBER(I100),(F100*I100*0.5)+(G100*J100*0.5)+(H100*K100*0.5)-4+L100,"")</f>
        <v/>
      </c>
      <c r="O100" t="str">
        <f>IF(LEN(A100)&gt;0,A100,"")</f>
        <v/>
      </c>
      <c r="P100" t="str">
        <f>IF(LEN(A100)&gt;0,C100,"")</f>
        <v/>
      </c>
      <c r="Q100" t="str">
        <f>IF(LEN(A100)&gt;2,D100,"")</f>
        <v/>
      </c>
      <c r="R100" t="str">
        <f>IF(LEN(A100)&gt;2,E100,"")</f>
        <v/>
      </c>
      <c r="S100" t="str">
        <f>IF(LEN(A100)&gt;2,B100,"")</f>
        <v/>
      </c>
      <c r="T100" s="101" t="str">
        <f>IF(LEN(A100)&gt;0,M100,"")</f>
        <v/>
      </c>
      <c r="U100" t="str">
        <f>IF(LEN(A100)&gt;0,TRUE,"")</f>
        <v/>
      </c>
    </row>
    <row r="101" spans="9:21" x14ac:dyDescent="0.25">
      <c r="I101" s="54" t="str">
        <f>IF(AND(ISNUMBER(F101),ISNUMBER(G101),ISNUMBER(H101)),(65-F101)/((65-F101)+(65-G101)+(65-H101)),"")</f>
        <v/>
      </c>
      <c r="J101" s="54" t="str">
        <f>IF(AND(ISNUMBER(F101),ISNUMBER(G101),ISNUMBER(H101)),(65-G101)/((65-F101)+(65-G101)+(65-H101)),"")</f>
        <v/>
      </c>
      <c r="K101" s="54" t="str">
        <f>IF(AND(ISNUMBER(F101),ISNUMBER(G101),ISNUMBER(H101)),(65-H101)/((65-F101)+(65-G101)+(65-H101)),"")</f>
        <v/>
      </c>
      <c r="M101" s="55" t="str">
        <f>IF(ISNUMBER(I101),(F101*I101*0.5)+(G101*J101*0.5)+(H101*K101*0.5)-4+L101,"")</f>
        <v/>
      </c>
      <c r="O101" t="str">
        <f>IF(LEN(A101)&gt;0,A101,"")</f>
        <v/>
      </c>
      <c r="P101" t="str">
        <f>IF(LEN(A101)&gt;0,C101,"")</f>
        <v/>
      </c>
      <c r="Q101" t="str">
        <f>IF(LEN(A101)&gt;2,D101,"")</f>
        <v/>
      </c>
      <c r="R101" t="str">
        <f>IF(LEN(A101)&gt;2,E101,"")</f>
        <v/>
      </c>
      <c r="S101" t="str">
        <f>IF(LEN(A101)&gt;2,B101,"")</f>
        <v/>
      </c>
      <c r="T101" s="101" t="str">
        <f>IF(LEN(A101)&gt;0,M101,"")</f>
        <v/>
      </c>
      <c r="U101" t="str">
        <f>IF(LEN(A101)&gt;0,TRUE,"")</f>
        <v/>
      </c>
    </row>
    <row r="102" spans="9:21" x14ac:dyDescent="0.25">
      <c r="I102" s="54" t="str">
        <f>IF(AND(ISNUMBER(F102),ISNUMBER(G102),ISNUMBER(H102)),(65-F102)/((65-F102)+(65-G102)+(65-H102)),"")</f>
        <v/>
      </c>
      <c r="J102" s="54" t="str">
        <f>IF(AND(ISNUMBER(F102),ISNUMBER(G102),ISNUMBER(H102)),(65-G102)/((65-F102)+(65-G102)+(65-H102)),"")</f>
        <v/>
      </c>
      <c r="K102" s="54" t="str">
        <f>IF(AND(ISNUMBER(F102),ISNUMBER(G102),ISNUMBER(H102)),(65-H102)/((65-F102)+(65-G102)+(65-H102)),"")</f>
        <v/>
      </c>
      <c r="M102" s="55" t="str">
        <f>IF(ISNUMBER(I102),(F102*I102*0.5)+(G102*J102*0.5)+(H102*K102*0.5)-4+L102,"")</f>
        <v/>
      </c>
      <c r="O102" t="str">
        <f>IF(LEN(A102)&gt;0,A102,"")</f>
        <v/>
      </c>
      <c r="P102" t="str">
        <f>IF(LEN(A102)&gt;0,C102,"")</f>
        <v/>
      </c>
      <c r="Q102" t="str">
        <f>IF(LEN(A102)&gt;2,D102,"")</f>
        <v/>
      </c>
      <c r="R102" t="str">
        <f>IF(LEN(A102)&gt;2,E102,"")</f>
        <v/>
      </c>
      <c r="S102" t="str">
        <f>IF(LEN(A102)&gt;2,B102,"")</f>
        <v/>
      </c>
      <c r="T102" s="101" t="str">
        <f>IF(LEN(A102)&gt;0,M102,"")</f>
        <v/>
      </c>
      <c r="U102" t="str">
        <f>IF(LEN(A102)&gt;0,TRUE,"")</f>
        <v/>
      </c>
    </row>
    <row r="103" spans="9:21" x14ac:dyDescent="0.25">
      <c r="I103" s="54" t="str">
        <f>IF(AND(ISNUMBER(F103),ISNUMBER(G103),ISNUMBER(H103)),(65-F103)/((65-F103)+(65-G103)+(65-H103)),"")</f>
        <v/>
      </c>
      <c r="J103" s="54" t="str">
        <f>IF(AND(ISNUMBER(F103),ISNUMBER(G103),ISNUMBER(H103)),(65-G103)/((65-F103)+(65-G103)+(65-H103)),"")</f>
        <v/>
      </c>
      <c r="K103" s="54" t="str">
        <f>IF(AND(ISNUMBER(F103),ISNUMBER(G103),ISNUMBER(H103)),(65-H103)/((65-F103)+(65-G103)+(65-H103)),"")</f>
        <v/>
      </c>
      <c r="M103" s="55" t="str">
        <f>IF(ISNUMBER(I103),(F103*I103*0.5)+(G103*J103*0.5)+(H103*K103*0.5)-4+L103,"")</f>
        <v/>
      </c>
      <c r="O103" t="str">
        <f>IF(LEN(A103)&gt;0,A103,"")</f>
        <v/>
      </c>
      <c r="P103" t="str">
        <f>IF(LEN(A103)&gt;0,C103,"")</f>
        <v/>
      </c>
      <c r="Q103" t="str">
        <f>IF(LEN(A103)&gt;2,D103,"")</f>
        <v/>
      </c>
      <c r="R103" t="str">
        <f>IF(LEN(A103)&gt;2,E103,"")</f>
        <v/>
      </c>
      <c r="S103" t="str">
        <f>IF(LEN(A103)&gt;2,B103,"")</f>
        <v/>
      </c>
      <c r="T103" s="101" t="str">
        <f>IF(LEN(A103)&gt;0,M103,"")</f>
        <v/>
      </c>
      <c r="U103" t="str">
        <f>IF(LEN(A103)&gt;0,TRUE,"")</f>
        <v/>
      </c>
    </row>
    <row r="104" spans="9:21" x14ac:dyDescent="0.25">
      <c r="I104" s="54" t="str">
        <f>IF(AND(ISNUMBER(F104),ISNUMBER(G104),ISNUMBER(H104)),(65-F104)/((65-F104)+(65-G104)+(65-H104)),"")</f>
        <v/>
      </c>
      <c r="J104" s="54" t="str">
        <f>IF(AND(ISNUMBER(F104),ISNUMBER(G104),ISNUMBER(H104)),(65-G104)/((65-F104)+(65-G104)+(65-H104)),"")</f>
        <v/>
      </c>
      <c r="K104" s="54" t="str">
        <f>IF(AND(ISNUMBER(F104),ISNUMBER(G104),ISNUMBER(H104)),(65-H104)/((65-F104)+(65-G104)+(65-H104)),"")</f>
        <v/>
      </c>
      <c r="M104" s="55" t="str">
        <f>IF(ISNUMBER(I104),(F104*I104*0.5)+(G104*J104*0.5)+(H104*K104*0.5)-4+L104,"")</f>
        <v/>
      </c>
      <c r="O104" t="str">
        <f>IF(LEN(A104)&gt;0,A104,"")</f>
        <v/>
      </c>
      <c r="P104" t="str">
        <f>IF(LEN(A104)&gt;0,C104,"")</f>
        <v/>
      </c>
      <c r="Q104" t="str">
        <f>IF(LEN(A104)&gt;2,D104,"")</f>
        <v/>
      </c>
      <c r="R104" t="str">
        <f>IF(LEN(A104)&gt;2,E104,"")</f>
        <v/>
      </c>
      <c r="S104" t="str">
        <f>IF(LEN(A104)&gt;2,B104,"")</f>
        <v/>
      </c>
      <c r="T104" s="101" t="str">
        <f>IF(LEN(A104)&gt;0,M104,"")</f>
        <v/>
      </c>
      <c r="U104" t="str">
        <f>IF(LEN(A104)&gt;0,TRUE,"")</f>
        <v/>
      </c>
    </row>
    <row r="105" spans="9:21" x14ac:dyDescent="0.25">
      <c r="I105" s="54" t="str">
        <f>IF(AND(ISNUMBER(F105),ISNUMBER(G105),ISNUMBER(H105)),(65-F105)/((65-F105)+(65-G105)+(65-H105)),"")</f>
        <v/>
      </c>
      <c r="J105" s="54" t="str">
        <f>IF(AND(ISNUMBER(F105),ISNUMBER(G105),ISNUMBER(H105)),(65-G105)/((65-F105)+(65-G105)+(65-H105)),"")</f>
        <v/>
      </c>
      <c r="K105" s="54" t="str">
        <f>IF(AND(ISNUMBER(F105),ISNUMBER(G105),ISNUMBER(H105)),(65-H105)/((65-F105)+(65-G105)+(65-H105)),"")</f>
        <v/>
      </c>
      <c r="M105" s="55" t="str">
        <f>IF(ISNUMBER(I105),(F105*I105*0.5)+(G105*J105*0.5)+(H105*K105*0.5)-4+L105,"")</f>
        <v/>
      </c>
      <c r="O105" t="str">
        <f>IF(LEN(A105)&gt;0,A105,"")</f>
        <v/>
      </c>
      <c r="P105" t="str">
        <f>IF(LEN(A105)&gt;0,C105,"")</f>
        <v/>
      </c>
      <c r="Q105" t="str">
        <f>IF(LEN(A105)&gt;2,D105,"")</f>
        <v/>
      </c>
      <c r="R105" t="str">
        <f>IF(LEN(A105)&gt;2,E105,"")</f>
        <v/>
      </c>
      <c r="S105" t="str">
        <f>IF(LEN(A105)&gt;2,B105,"")</f>
        <v/>
      </c>
      <c r="T105" s="101" t="str">
        <f>IF(LEN(A105)&gt;0,M105,"")</f>
        <v/>
      </c>
      <c r="U105" t="str">
        <f>IF(LEN(A105)&gt;0,TRUE,"")</f>
        <v/>
      </c>
    </row>
    <row r="106" spans="9:21" x14ac:dyDescent="0.25">
      <c r="I106" s="54" t="str">
        <f>IF(AND(ISNUMBER(F106),ISNUMBER(G106),ISNUMBER(H106)),(65-F106)/((65-F106)+(65-G106)+(65-H106)),"")</f>
        <v/>
      </c>
      <c r="J106" s="54" t="str">
        <f>IF(AND(ISNUMBER(F106),ISNUMBER(G106),ISNUMBER(H106)),(65-G106)/((65-F106)+(65-G106)+(65-H106)),"")</f>
        <v/>
      </c>
      <c r="K106" s="54" t="str">
        <f>IF(AND(ISNUMBER(F106),ISNUMBER(G106),ISNUMBER(H106)),(65-H106)/((65-F106)+(65-G106)+(65-H106)),"")</f>
        <v/>
      </c>
      <c r="M106" s="55" t="str">
        <f>IF(ISNUMBER(I106),(F106*I106*0.5)+(G106*J106*0.5)+(H106*K106*0.5)-4+L106,"")</f>
        <v/>
      </c>
      <c r="O106" t="str">
        <f>IF(LEN(A106)&gt;0,A106,"")</f>
        <v/>
      </c>
      <c r="P106" t="str">
        <f>IF(LEN(A106)&gt;0,C106,"")</f>
        <v/>
      </c>
      <c r="Q106" t="str">
        <f>IF(LEN(A106)&gt;2,D106,"")</f>
        <v/>
      </c>
      <c r="R106" t="str">
        <f>IF(LEN(A106)&gt;2,E106,"")</f>
        <v/>
      </c>
      <c r="S106" t="str">
        <f>IF(LEN(A106)&gt;2,B106,"")</f>
        <v/>
      </c>
      <c r="T106" s="101" t="str">
        <f>IF(LEN(A106)&gt;0,M106,"")</f>
        <v/>
      </c>
      <c r="U106" t="str">
        <f>IF(LEN(A106)&gt;0,TRUE,"")</f>
        <v/>
      </c>
    </row>
    <row r="107" spans="9:21" x14ac:dyDescent="0.25">
      <c r="I107" s="54" t="str">
        <f>IF(AND(ISNUMBER(F107),ISNUMBER(G107),ISNUMBER(H107)),(65-F107)/((65-F107)+(65-G107)+(65-H107)),"")</f>
        <v/>
      </c>
      <c r="J107" s="54" t="str">
        <f>IF(AND(ISNUMBER(F107),ISNUMBER(G107),ISNUMBER(H107)),(65-G107)/((65-F107)+(65-G107)+(65-H107)),"")</f>
        <v/>
      </c>
      <c r="K107" s="54" t="str">
        <f>IF(AND(ISNUMBER(F107),ISNUMBER(G107),ISNUMBER(H107)),(65-H107)/((65-F107)+(65-G107)+(65-H107)),"")</f>
        <v/>
      </c>
      <c r="M107" s="55" t="str">
        <f>IF(ISNUMBER(I107),(F107*I107*0.5)+(G107*J107*0.5)+(H107*K107*0.5)-4+L107,"")</f>
        <v/>
      </c>
      <c r="O107" t="str">
        <f>IF(LEN(A107)&gt;0,A107,"")</f>
        <v/>
      </c>
      <c r="P107" t="str">
        <f>IF(LEN(A107)&gt;0,C107,"")</f>
        <v/>
      </c>
      <c r="Q107" t="str">
        <f>IF(LEN(A107)&gt;2,D107,"")</f>
        <v/>
      </c>
      <c r="R107" t="str">
        <f>IF(LEN(A107)&gt;2,E107,"")</f>
        <v/>
      </c>
      <c r="S107" t="str">
        <f>IF(LEN(A107)&gt;2,B107,"")</f>
        <v/>
      </c>
      <c r="T107" s="101" t="str">
        <f>IF(LEN(A107)&gt;0,M107,"")</f>
        <v/>
      </c>
      <c r="U107" t="str">
        <f>IF(LEN(A107)&gt;0,TRUE,"")</f>
        <v/>
      </c>
    </row>
    <row r="108" spans="9:21" x14ac:dyDescent="0.25">
      <c r="M108" s="55" t="str">
        <f>IF(ISNUMBER(I108),(F108*I108*0.5)+(G108*J108*0.5)+(H108*K108*0.5)-L108,"")</f>
        <v/>
      </c>
      <c r="O108" t="str">
        <f>IF(LEN(A108)&gt;0,A108,"")</f>
        <v/>
      </c>
      <c r="P108" t="str">
        <f>IF(LEN(A108)&gt;0,C108,"")</f>
        <v/>
      </c>
      <c r="Q108" t="str">
        <f>IF(LEN(A108)&gt;2,D108,"")</f>
        <v/>
      </c>
      <c r="R108" t="str">
        <f>IF(LEN(A108)&gt;2,E108,"")</f>
        <v/>
      </c>
      <c r="S108" t="str">
        <f>IF(LEN(A108)&gt;2,B108,"")</f>
        <v/>
      </c>
      <c r="T108" s="101" t="str">
        <f>IF(LEN(A108)&gt;0,M108,"")</f>
        <v/>
      </c>
      <c r="U108" t="str">
        <f>IF(LEN(A108)&gt;0,TRUE,"")</f>
        <v/>
      </c>
    </row>
    <row r="109" spans="9:21" x14ac:dyDescent="0.25">
      <c r="M109" s="55" t="str">
        <f>IF(ISNUMBER(I109),(F109*I109*0.5)+(G109*J109*0.5)+(H109*K109*0.5)-L109,"")</f>
        <v/>
      </c>
      <c r="O109" t="str">
        <f>IF(LEN(A109)&gt;0,A109,"")</f>
        <v/>
      </c>
      <c r="P109" t="str">
        <f>IF(LEN(A109)&gt;0,C109,"")</f>
        <v/>
      </c>
      <c r="Q109" t="str">
        <f>IF(LEN(A109)&gt;2,D109,"")</f>
        <v/>
      </c>
      <c r="R109" t="str">
        <f>IF(LEN(A109)&gt;2,E109,"")</f>
        <v/>
      </c>
      <c r="S109" t="str">
        <f>IF(LEN(A109)&gt;2,B109,"")</f>
        <v/>
      </c>
      <c r="T109" s="101" t="str">
        <f>IF(LEN(A109)&gt;0,M109,"")</f>
        <v/>
      </c>
      <c r="U109" t="str">
        <f>IF(LEN(A109)&gt;0,TRUE,"")</f>
        <v/>
      </c>
    </row>
    <row r="110" spans="9:21" x14ac:dyDescent="0.25">
      <c r="M110" s="55" t="str">
        <f>IF(ISNUMBER(I110),(F110*I110*0.5)+(G110*J110*0.5)+(H110*K110*0.5)-L110,"")</f>
        <v/>
      </c>
      <c r="O110" t="str">
        <f>IF(LEN(A110)&gt;0,A110,"")</f>
        <v/>
      </c>
      <c r="P110" t="str">
        <f>IF(LEN(A110)&gt;0,C110,"")</f>
        <v/>
      </c>
      <c r="Q110" t="str">
        <f>IF(LEN(A110)&gt;2,D110,"")</f>
        <v/>
      </c>
      <c r="R110" t="str">
        <f>IF(LEN(A110)&gt;2,E110,"")</f>
        <v/>
      </c>
      <c r="S110" t="str">
        <f>IF(LEN(A110)&gt;2,B110,"")</f>
        <v/>
      </c>
      <c r="T110" s="101" t="str">
        <f>IF(LEN(A110)&gt;0,M110,"")</f>
        <v/>
      </c>
      <c r="U110" t="str">
        <f>IF(LEN(A110)&gt;0,TRUE,"")</f>
        <v/>
      </c>
    </row>
    <row r="111" spans="9:21" x14ac:dyDescent="0.25">
      <c r="M111" s="55" t="str">
        <f>IF(ISNUMBER(I111),(F111*I111*0.5)+(G111*J111*0.5)+(H111*K111*0.5)-L111,"")</f>
        <v/>
      </c>
      <c r="O111" t="str">
        <f>IF(LEN(A111)&gt;0,A111,"")</f>
        <v/>
      </c>
      <c r="P111" t="str">
        <f>IF(LEN(A111)&gt;0,C111,"")</f>
        <v/>
      </c>
      <c r="Q111" t="str">
        <f>IF(LEN(A111)&gt;2,D111,"")</f>
        <v/>
      </c>
      <c r="R111" t="str">
        <f>IF(LEN(A111)&gt;2,E111,"")</f>
        <v/>
      </c>
      <c r="S111" t="str">
        <f>IF(LEN(A111)&gt;2,B111,"")</f>
        <v/>
      </c>
      <c r="T111" s="101" t="str">
        <f>IF(LEN(A111)&gt;0,M111,"")</f>
        <v/>
      </c>
      <c r="U111" t="str">
        <f>IF(LEN(A111)&gt;0,TRUE,"")</f>
        <v/>
      </c>
    </row>
    <row r="112" spans="9:21" x14ac:dyDescent="0.25">
      <c r="M112" s="55" t="str">
        <f>IF(ISNUMBER(I112),(F112*I112*0.5)+(G112*J112*0.5)+(H112*K112*0.5)-L112,"")</f>
        <v/>
      </c>
      <c r="O112" t="str">
        <f>IF(LEN(A112)&gt;0,A112,"")</f>
        <v/>
      </c>
      <c r="P112" t="str">
        <f>IF(LEN(A112)&gt;0,C112,"")</f>
        <v/>
      </c>
      <c r="Q112" t="str">
        <f>IF(LEN(A112)&gt;2,D112,"")</f>
        <v/>
      </c>
      <c r="R112" t="str">
        <f>IF(LEN(A112)&gt;2,E112,"")</f>
        <v/>
      </c>
      <c r="S112" t="str">
        <f>IF(LEN(A112)&gt;2,B112,"")</f>
        <v/>
      </c>
      <c r="T112" s="101" t="str">
        <f>IF(LEN(A112)&gt;0,M112,"")</f>
        <v/>
      </c>
      <c r="U112" t="str">
        <f>IF(LEN(A112)&gt;0,TRUE,"")</f>
        <v/>
      </c>
    </row>
    <row r="113" spans="13:21" x14ac:dyDescent="0.25">
      <c r="M113" s="55" t="str">
        <f>IF(ISNUMBER(I113),(F113*I113*0.5)+(G113*J113*0.5)+(H113*K113*0.5)-L113,"")</f>
        <v/>
      </c>
      <c r="O113" t="str">
        <f>IF(LEN(A113)&gt;0,A113,"")</f>
        <v/>
      </c>
      <c r="P113" t="str">
        <f>IF(LEN(A113)&gt;0,C113,"")</f>
        <v/>
      </c>
      <c r="Q113" t="str">
        <f>IF(LEN(A113)&gt;2,D113,"")</f>
        <v/>
      </c>
      <c r="R113" t="str">
        <f>IF(LEN(A113)&gt;2,E113,"")</f>
        <v/>
      </c>
      <c r="S113" t="str">
        <f>IF(LEN(A113)&gt;2,B113,"")</f>
        <v/>
      </c>
      <c r="T113" s="101" t="str">
        <f>IF(LEN(A113)&gt;0,M113,"")</f>
        <v/>
      </c>
      <c r="U113" t="str">
        <f>IF(LEN(A113)&gt;0,TRUE,"")</f>
        <v/>
      </c>
    </row>
    <row r="114" spans="13:21" x14ac:dyDescent="0.25">
      <c r="O114" t="str">
        <f>IF(LEN(A114)&gt;0,A114,"")</f>
        <v/>
      </c>
      <c r="P114" t="str">
        <f>IF(LEN(A114)&gt;0,C114,"")</f>
        <v/>
      </c>
      <c r="Q114" t="str">
        <f>IF(LEN(A114)&gt;2,D114,"")</f>
        <v/>
      </c>
      <c r="R114" t="str">
        <f>IF(LEN(A114)&gt;2,E114,"")</f>
        <v/>
      </c>
      <c r="S114" t="str">
        <f>IF(LEN(A114)&gt;2,B114,"")</f>
        <v/>
      </c>
      <c r="T114" s="101" t="str">
        <f>IF(LEN(A114)&gt;0,M114,"")</f>
        <v/>
      </c>
      <c r="U114" t="str">
        <f>IF(LEN(A114)&gt;0,TRUE,"")</f>
        <v/>
      </c>
    </row>
    <row r="115" spans="13:21" x14ac:dyDescent="0.25">
      <c r="O115" t="str">
        <f>IF(LEN(A115)&gt;0,A115,"")</f>
        <v/>
      </c>
      <c r="P115" t="str">
        <f>IF(LEN(A115)&gt;0,C115,"")</f>
        <v/>
      </c>
      <c r="Q115" t="str">
        <f>IF(LEN(A115)&gt;2,D115,"")</f>
        <v/>
      </c>
      <c r="R115" t="str">
        <f>IF(LEN(A115)&gt;2,E115,"")</f>
        <v/>
      </c>
      <c r="S115" t="str">
        <f>IF(LEN(A115)&gt;2,B115,"")</f>
        <v/>
      </c>
      <c r="T115" s="101" t="str">
        <f>IF(LEN(A115)&gt;0,M115,"")</f>
        <v/>
      </c>
      <c r="U115" t="str">
        <f>IF(LEN(A115)&gt;0,TRUE,"")</f>
        <v/>
      </c>
    </row>
    <row r="116" spans="13:21" x14ac:dyDescent="0.25">
      <c r="O116" t="str">
        <f>IF(LEN(A116)&gt;0,A116,"")</f>
        <v/>
      </c>
      <c r="P116" t="str">
        <f>IF(LEN(A116)&gt;0,C116,"")</f>
        <v/>
      </c>
      <c r="Q116" t="str">
        <f>IF(LEN(A116)&gt;2,D116,"")</f>
        <v/>
      </c>
      <c r="R116" t="str">
        <f>IF(LEN(A116)&gt;2,E116,"")</f>
        <v/>
      </c>
      <c r="S116" t="str">
        <f>IF(LEN(A116)&gt;2,B116,"")</f>
        <v/>
      </c>
      <c r="T116" s="101" t="str">
        <f>IF(LEN(A116)&gt;0,M116,"")</f>
        <v/>
      </c>
      <c r="U116" t="str">
        <f>IF(LEN(A116)&gt;0,TRUE,"")</f>
        <v/>
      </c>
    </row>
    <row r="117" spans="13:21" x14ac:dyDescent="0.25">
      <c r="O117" t="str">
        <f>IF(LEN(A117)&gt;0,A117,"")</f>
        <v/>
      </c>
      <c r="P117" t="str">
        <f>IF(LEN(A117)&gt;0,C117,"")</f>
        <v/>
      </c>
      <c r="Q117" t="str">
        <f>IF(LEN(A117)&gt;2,D117,"")</f>
        <v/>
      </c>
      <c r="R117" t="str">
        <f>IF(LEN(A117)&gt;2,E117,"")</f>
        <v/>
      </c>
      <c r="S117" t="str">
        <f>IF(LEN(A117)&gt;2,B117,"")</f>
        <v/>
      </c>
      <c r="T117" s="101" t="str">
        <f>IF(LEN(A117)&gt;0,M117,"")</f>
        <v/>
      </c>
      <c r="U117" t="str">
        <f>IF(LEN(A117)&gt;0,TRUE,"")</f>
        <v/>
      </c>
    </row>
    <row r="118" spans="13:21" x14ac:dyDescent="0.25">
      <c r="O118" t="str">
        <f>IF(LEN(A118)&gt;0,A118,"")</f>
        <v/>
      </c>
      <c r="P118" t="str">
        <f>IF(LEN(A118)&gt;0,C118,"")</f>
        <v/>
      </c>
      <c r="Q118" t="str">
        <f>IF(LEN(A118)&gt;2,D118,"")</f>
        <v/>
      </c>
      <c r="R118" t="str">
        <f>IF(LEN(A118)&gt;2,E118,"")</f>
        <v/>
      </c>
      <c r="S118" t="str">
        <f>IF(LEN(A118)&gt;2,B118,"")</f>
        <v/>
      </c>
      <c r="T118" s="101" t="str">
        <f>IF(LEN(A118)&gt;0,M118,"")</f>
        <v/>
      </c>
      <c r="U118" t="str">
        <f>IF(LEN(A118)&gt;0,TRUE,"")</f>
        <v/>
      </c>
    </row>
    <row r="119" spans="13:21" x14ac:dyDescent="0.25">
      <c r="O119" t="str">
        <f>IF(LEN(A119)&gt;0,A119,"")</f>
        <v/>
      </c>
      <c r="P119" t="str">
        <f>IF(LEN(A119)&gt;0,C119,"")</f>
        <v/>
      </c>
      <c r="Q119" t="str">
        <f>IF(LEN(A119)&gt;2,D119,"")</f>
        <v/>
      </c>
      <c r="R119" t="str">
        <f>IF(LEN(A119)&gt;2,E119,"")</f>
        <v/>
      </c>
      <c r="S119" t="str">
        <f>IF(LEN(A119)&gt;2,B119,"")</f>
        <v/>
      </c>
      <c r="T119" s="101" t="str">
        <f>IF(LEN(A119)&gt;0,M119,"")</f>
        <v/>
      </c>
      <c r="U119" t="str">
        <f>IF(LEN(A119)&gt;0,TRUE,"")</f>
        <v/>
      </c>
    </row>
    <row r="120" spans="13:21" x14ac:dyDescent="0.25">
      <c r="O120" t="str">
        <f>IF(LEN(A120)&gt;0,A120,"")</f>
        <v/>
      </c>
      <c r="P120" t="str">
        <f>IF(LEN(A120)&gt;0,C120,"")</f>
        <v/>
      </c>
      <c r="Q120" t="str">
        <f>IF(LEN(A120)&gt;2,D120,"")</f>
        <v/>
      </c>
      <c r="R120" t="str">
        <f>IF(LEN(A120)&gt;2,E120,"")</f>
        <v/>
      </c>
      <c r="S120" t="str">
        <f>IF(LEN(A120)&gt;2,B120,"")</f>
        <v/>
      </c>
      <c r="T120" s="101" t="str">
        <f>IF(LEN(A120)&gt;0,M120,"")</f>
        <v/>
      </c>
      <c r="U120" t="str">
        <f>IF(LEN(A120)&gt;0,TRUE,"")</f>
        <v/>
      </c>
    </row>
    <row r="121" spans="13:21" x14ac:dyDescent="0.25">
      <c r="O121" t="str">
        <f>IF(LEN(A121)&gt;0,A121,"")</f>
        <v/>
      </c>
      <c r="P121" t="str">
        <f>IF(LEN(A121)&gt;0,C121,"")</f>
        <v/>
      </c>
      <c r="Q121" t="str">
        <f>IF(LEN(A121)&gt;2,D121,"")</f>
        <v/>
      </c>
      <c r="R121" t="str">
        <f>IF(LEN(A121)&gt;2,E121,"")</f>
        <v/>
      </c>
      <c r="S121" t="str">
        <f>IF(LEN(A121)&gt;2,B121,"")</f>
        <v/>
      </c>
      <c r="T121" s="101" t="str">
        <f>IF(LEN(A121)&gt;0,M121,"")</f>
        <v/>
      </c>
      <c r="U121" t="str">
        <f>IF(LEN(A121)&gt;0,TRUE,"")</f>
        <v/>
      </c>
    </row>
    <row r="122" spans="13:21" x14ac:dyDescent="0.25">
      <c r="O122" t="str">
        <f>IF(LEN(A122)&gt;0,A122,"")</f>
        <v/>
      </c>
      <c r="P122" t="str">
        <f>IF(LEN(A122)&gt;0,C122,"")</f>
        <v/>
      </c>
      <c r="Q122" t="str">
        <f>IF(LEN(A122)&gt;2,D122,"")</f>
        <v/>
      </c>
      <c r="R122" t="str">
        <f>IF(LEN(A122)&gt;2,E122,"")</f>
        <v/>
      </c>
      <c r="S122" t="str">
        <f>IF(LEN(A122)&gt;2,B122,"")</f>
        <v/>
      </c>
      <c r="T122" s="101" t="str">
        <f>IF(LEN(A122)&gt;0,M122,"")</f>
        <v/>
      </c>
      <c r="U122" t="str">
        <f>IF(LEN(A122)&gt;0,TRUE,"")</f>
        <v/>
      </c>
    </row>
    <row r="123" spans="13:21" x14ac:dyDescent="0.25">
      <c r="O123" t="str">
        <f>IF(LEN(A123)&gt;0,A123,"")</f>
        <v/>
      </c>
      <c r="P123" t="str">
        <f>IF(LEN(A123)&gt;0,C123,"")</f>
        <v/>
      </c>
      <c r="Q123" t="str">
        <f>IF(LEN(A123)&gt;2,D123,"")</f>
        <v/>
      </c>
      <c r="R123" t="str">
        <f>IF(LEN(A123)&gt;2,E123,"")</f>
        <v/>
      </c>
      <c r="S123" t="str">
        <f>IF(LEN(A123)&gt;2,B123,"")</f>
        <v/>
      </c>
      <c r="T123" s="101" t="str">
        <f>IF(LEN(A123)&gt;0,M123,"")</f>
        <v/>
      </c>
      <c r="U123" t="str">
        <f>IF(LEN(A123)&gt;0,TRUE,"")</f>
        <v/>
      </c>
    </row>
    <row r="124" spans="13:21" x14ac:dyDescent="0.25">
      <c r="O124" t="str">
        <f>IF(LEN(A124)&gt;0,A124,"")</f>
        <v/>
      </c>
      <c r="P124" t="str">
        <f>IF(LEN(A124)&gt;0,C124,"")</f>
        <v/>
      </c>
      <c r="Q124" t="str">
        <f>IF(LEN(A124)&gt;2,D124,"")</f>
        <v/>
      </c>
      <c r="R124" t="str">
        <f>IF(LEN(A124)&gt;2,E124,"")</f>
        <v/>
      </c>
      <c r="S124" t="str">
        <f>IF(LEN(A124)&gt;2,B124,"")</f>
        <v/>
      </c>
      <c r="T124" s="101" t="str">
        <f>IF(LEN(A124)&gt;0,M124,"")</f>
        <v/>
      </c>
      <c r="U124" t="str">
        <f>IF(LEN(A124)&gt;0,TRUE,"")</f>
        <v/>
      </c>
    </row>
    <row r="125" spans="13:21" x14ac:dyDescent="0.25">
      <c r="O125" t="str">
        <f>IF(LEN(A125)&gt;0,A125,"")</f>
        <v/>
      </c>
      <c r="P125" t="str">
        <f>IF(LEN(A125)&gt;0,C125,"")</f>
        <v/>
      </c>
      <c r="Q125" t="str">
        <f>IF(LEN(A125)&gt;2,D125,"")</f>
        <v/>
      </c>
      <c r="R125" t="str">
        <f>IF(LEN(A125)&gt;2,E125,"")</f>
        <v/>
      </c>
      <c r="S125" t="str">
        <f>IF(LEN(A125)&gt;2,B125,"")</f>
        <v/>
      </c>
      <c r="T125" s="101" t="str">
        <f>IF(LEN(A125)&gt;0,M125,"")</f>
        <v/>
      </c>
      <c r="U125" t="str">
        <f>IF(LEN(A125)&gt;0,TRUE,"")</f>
        <v/>
      </c>
    </row>
    <row r="126" spans="13:21" x14ac:dyDescent="0.25">
      <c r="O126" t="str">
        <f>IF(LEN(A126)&gt;0,A126,"")</f>
        <v/>
      </c>
      <c r="P126" t="str">
        <f>IF(LEN(A126)&gt;0,C126,"")</f>
        <v/>
      </c>
      <c r="Q126" t="str">
        <f>IF(LEN(A126)&gt;2,D126,"")</f>
        <v/>
      </c>
      <c r="R126" t="str">
        <f>IF(LEN(A126)&gt;2,E126,"")</f>
        <v/>
      </c>
      <c r="S126" t="str">
        <f>IF(LEN(A126)&gt;2,B126,"")</f>
        <v/>
      </c>
      <c r="T126" s="101" t="str">
        <f>IF(LEN(A126)&gt;0,M126,"")</f>
        <v/>
      </c>
      <c r="U126" t="str">
        <f>IF(LEN(A126)&gt;0,TRUE,"")</f>
        <v/>
      </c>
    </row>
    <row r="127" spans="13:21" x14ac:dyDescent="0.25">
      <c r="O127" t="str">
        <f>IF(LEN(A127)&gt;0,A127,"")</f>
        <v/>
      </c>
      <c r="P127" t="str">
        <f>IF(LEN(A127)&gt;0,C127,"")</f>
        <v/>
      </c>
      <c r="Q127" t="str">
        <f>IF(LEN(A127)&gt;2,D127,"")</f>
        <v/>
      </c>
      <c r="R127" t="str">
        <f>IF(LEN(A127)&gt;2,E127,"")</f>
        <v/>
      </c>
      <c r="S127" t="str">
        <f>IF(LEN(A127)&gt;2,B127,"")</f>
        <v/>
      </c>
      <c r="T127" s="101" t="str">
        <f>IF(LEN(A127)&gt;0,M127,"")</f>
        <v/>
      </c>
      <c r="U127" t="str">
        <f>IF(LEN(A127)&gt;0,TRUE,"")</f>
        <v/>
      </c>
    </row>
    <row r="128" spans="13:21" x14ac:dyDescent="0.25">
      <c r="O128" t="str">
        <f>IF(LEN(A128)&gt;0,A128,"")</f>
        <v/>
      </c>
      <c r="P128" t="str">
        <f>IF(LEN(A128)&gt;0,C128,"")</f>
        <v/>
      </c>
      <c r="Q128" t="str">
        <f>IF(LEN(A128)&gt;2,D128,"")</f>
        <v/>
      </c>
      <c r="R128" t="str">
        <f>IF(LEN(A128)&gt;2,E128,"")</f>
        <v/>
      </c>
      <c r="S128" t="str">
        <f>IF(LEN(A128)&gt;2,B128,"")</f>
        <v/>
      </c>
      <c r="T128" s="101" t="str">
        <f>IF(LEN(A128)&gt;0,M128,"")</f>
        <v/>
      </c>
      <c r="U128" t="str">
        <f>IF(LEN(A128)&gt;0,TRUE,"")</f>
        <v/>
      </c>
    </row>
    <row r="129" spans="15:21" x14ac:dyDescent="0.25">
      <c r="O129" t="str">
        <f>IF(LEN(A129)&gt;0,A129,"")</f>
        <v/>
      </c>
      <c r="P129" t="str">
        <f>IF(LEN(A129)&gt;0,C129,"")</f>
        <v/>
      </c>
      <c r="Q129" t="str">
        <f>IF(LEN(A129)&gt;2,D129,"")</f>
        <v/>
      </c>
      <c r="R129" t="str">
        <f>IF(LEN(A129)&gt;2,E129,"")</f>
        <v/>
      </c>
      <c r="S129" t="str">
        <f>IF(LEN(A129)&gt;2,B129,"")</f>
        <v/>
      </c>
      <c r="T129" s="101" t="str">
        <f>IF(LEN(A129)&gt;0,M129,"")</f>
        <v/>
      </c>
      <c r="U129" t="str">
        <f>IF(LEN(A129)&gt;0,TRUE,"")</f>
        <v/>
      </c>
    </row>
    <row r="130" spans="15:21" x14ac:dyDescent="0.25">
      <c r="O130" t="str">
        <f>IF(LEN(A130)&gt;0,A130,"")</f>
        <v/>
      </c>
      <c r="P130" t="str">
        <f>IF(LEN(A130)&gt;0,C130,"")</f>
        <v/>
      </c>
      <c r="Q130" t="str">
        <f>IF(LEN(A130)&gt;2,D130,"")</f>
        <v/>
      </c>
      <c r="R130" t="str">
        <f>IF(LEN(A130)&gt;2,E130,"")</f>
        <v/>
      </c>
      <c r="S130" t="str">
        <f>IF(LEN(A130)&gt;2,B130,"")</f>
        <v/>
      </c>
      <c r="T130" s="101" t="str">
        <f>IF(LEN(A130)&gt;0,M130,"")</f>
        <v/>
      </c>
      <c r="U130" t="str">
        <f>IF(LEN(A130)&gt;0,TRUE,"")</f>
        <v/>
      </c>
    </row>
    <row r="131" spans="15:21" x14ac:dyDescent="0.25">
      <c r="O131" t="str">
        <f>IF(LEN(A131)&gt;0,A131,"")</f>
        <v/>
      </c>
      <c r="P131" t="str">
        <f>IF(LEN(A131)&gt;0,C131,"")</f>
        <v/>
      </c>
      <c r="Q131" t="str">
        <f>IF(LEN(A131)&gt;2,D131,"")</f>
        <v/>
      </c>
      <c r="R131" t="str">
        <f>IF(LEN(A131)&gt;2,E131,"")</f>
        <v/>
      </c>
      <c r="S131" t="str">
        <f>IF(LEN(A131)&gt;2,B131,"")</f>
        <v/>
      </c>
      <c r="T131" s="101" t="str">
        <f>IF(LEN(A131)&gt;0,M131,"")</f>
        <v/>
      </c>
      <c r="U131" t="str">
        <f>IF(LEN(A131)&gt;0,TRUE,"")</f>
        <v/>
      </c>
    </row>
    <row r="132" spans="15:21" x14ac:dyDescent="0.25">
      <c r="O132" t="str">
        <f>IF(LEN(A132)&gt;0,A132,"")</f>
        <v/>
      </c>
      <c r="P132" t="str">
        <f>IF(LEN(A132)&gt;0,C132,"")</f>
        <v/>
      </c>
      <c r="Q132" t="str">
        <f>IF(LEN(A132)&gt;2,D132,"")</f>
        <v/>
      </c>
      <c r="R132" t="str">
        <f>IF(LEN(A132)&gt;2,E132,"")</f>
        <v/>
      </c>
      <c r="S132" t="str">
        <f>IF(LEN(A132)&gt;2,B132,"")</f>
        <v/>
      </c>
      <c r="T132" s="101" t="str">
        <f>IF(LEN(A132)&gt;0,M132,"")</f>
        <v/>
      </c>
      <c r="U132" t="str">
        <f>IF(LEN(A132)&gt;0,TRUE,"")</f>
        <v/>
      </c>
    </row>
    <row r="133" spans="15:21" x14ac:dyDescent="0.25">
      <c r="O133" t="str">
        <f>IF(LEN(A133)&gt;0,A133,"")</f>
        <v/>
      </c>
      <c r="P133" t="str">
        <f>IF(LEN(A133)&gt;0,C133,"")</f>
        <v/>
      </c>
      <c r="Q133" t="str">
        <f>IF(LEN(A133)&gt;2,D133,"")</f>
        <v/>
      </c>
      <c r="R133" t="str">
        <f>IF(LEN(A133)&gt;2,E133,"")</f>
        <v/>
      </c>
      <c r="S133" t="str">
        <f>IF(LEN(A133)&gt;2,B133,"")</f>
        <v/>
      </c>
      <c r="T133" s="101" t="str">
        <f>IF(LEN(A133)&gt;0,M133,"")</f>
        <v/>
      </c>
      <c r="U133" t="str">
        <f>IF(LEN(A133)&gt;0,TRUE,"")</f>
        <v/>
      </c>
    </row>
    <row r="134" spans="15:21" x14ac:dyDescent="0.25">
      <c r="O134" t="str">
        <f>IF(LEN(A134)&gt;0,A134,"")</f>
        <v/>
      </c>
      <c r="P134" t="str">
        <f>IF(LEN(A134)&gt;0,C134,"")</f>
        <v/>
      </c>
      <c r="Q134" t="str">
        <f>IF(LEN(A134)&gt;2,D134,"")</f>
        <v/>
      </c>
      <c r="R134" t="str">
        <f>IF(LEN(A134)&gt;2,E134,"")</f>
        <v/>
      </c>
      <c r="S134" t="str">
        <f>IF(LEN(A134)&gt;2,B134,"")</f>
        <v/>
      </c>
      <c r="T134" s="101" t="str">
        <f>IF(LEN(A134)&gt;0,M134,"")</f>
        <v/>
      </c>
      <c r="U134" t="str">
        <f>IF(LEN(A134)&gt;0,TRUE,"")</f>
        <v/>
      </c>
    </row>
    <row r="135" spans="15:21" x14ac:dyDescent="0.25">
      <c r="O135" t="str">
        <f>IF(LEN(A135)&gt;0,A135,"")</f>
        <v/>
      </c>
      <c r="P135" t="str">
        <f>IF(LEN(A135)&gt;0,C135,"")</f>
        <v/>
      </c>
      <c r="Q135" t="str">
        <f>IF(LEN(A135)&gt;2,D135,"")</f>
        <v/>
      </c>
      <c r="R135" t="str">
        <f>IF(LEN(A135)&gt;2,E135,"")</f>
        <v/>
      </c>
      <c r="S135" t="str">
        <f>IF(LEN(A135)&gt;2,B135,"")</f>
        <v/>
      </c>
      <c r="T135" s="101" t="str">
        <f>IF(LEN(A135)&gt;0,M135,"")</f>
        <v/>
      </c>
      <c r="U135" t="str">
        <f>IF(LEN(A135)&gt;0,TRUE,"")</f>
        <v/>
      </c>
    </row>
    <row r="136" spans="15:21" x14ac:dyDescent="0.25">
      <c r="O136" t="str">
        <f>IF(LEN(A136)&gt;0,A136,"")</f>
        <v/>
      </c>
      <c r="P136" t="str">
        <f>IF(LEN(A136)&gt;0,C136,"")</f>
        <v/>
      </c>
      <c r="Q136" t="str">
        <f>IF(LEN(A136)&gt;2,D136,"")</f>
        <v/>
      </c>
      <c r="R136" t="str">
        <f>IF(LEN(A136)&gt;2,E136,"")</f>
        <v/>
      </c>
      <c r="S136" t="str">
        <f>IF(LEN(A136)&gt;2,B136,"")</f>
        <v/>
      </c>
      <c r="T136" s="101" t="str">
        <f>IF(LEN(A136)&gt;0,M136,"")</f>
        <v/>
      </c>
      <c r="U136" t="str">
        <f>IF(LEN(A136)&gt;0,TRUE,"")</f>
        <v/>
      </c>
    </row>
    <row r="137" spans="15:21" x14ac:dyDescent="0.25">
      <c r="O137" t="str">
        <f>IF(LEN(A137)&gt;0,A137,"")</f>
        <v/>
      </c>
      <c r="P137" t="str">
        <f>IF(LEN(A137)&gt;0,C137,"")</f>
        <v/>
      </c>
      <c r="Q137" t="str">
        <f>IF(LEN(A137)&gt;2,D137,"")</f>
        <v/>
      </c>
      <c r="R137" t="str">
        <f>IF(LEN(A137)&gt;2,E137,"")</f>
        <v/>
      </c>
      <c r="S137" t="str">
        <f>IF(LEN(A137)&gt;2,B137,"")</f>
        <v/>
      </c>
      <c r="T137" s="101" t="str">
        <f>IF(LEN(A137)&gt;0,M137,"")</f>
        <v/>
      </c>
      <c r="U137" t="str">
        <f>IF(LEN(A137)&gt;0,TRUE,"")</f>
        <v/>
      </c>
    </row>
    <row r="138" spans="15:21" x14ac:dyDescent="0.25">
      <c r="O138" t="str">
        <f>IF(LEN(A138)&gt;0,A138,"")</f>
        <v/>
      </c>
      <c r="P138" t="str">
        <f>IF(LEN(A138)&gt;0,C138,"")</f>
        <v/>
      </c>
      <c r="Q138" t="str">
        <f>IF(LEN(A138)&gt;2,D138,"")</f>
        <v/>
      </c>
      <c r="R138" t="str">
        <f>IF(LEN(A138)&gt;2,E138,"")</f>
        <v/>
      </c>
      <c r="S138" t="str">
        <f>IF(LEN(A138)&gt;2,B138,"")</f>
        <v/>
      </c>
      <c r="T138" s="101" t="str">
        <f>IF(LEN(A138)&gt;0,M138,"")</f>
        <v/>
      </c>
      <c r="U138" t="str">
        <f>IF(LEN(A138)&gt;0,TRUE,"")</f>
        <v/>
      </c>
    </row>
    <row r="139" spans="15:21" x14ac:dyDescent="0.25">
      <c r="O139" t="str">
        <f>IF(LEN(A139)&gt;0,A139,"")</f>
        <v/>
      </c>
      <c r="P139" t="str">
        <f>IF(LEN(A139)&gt;0,C139,"")</f>
        <v/>
      </c>
      <c r="Q139" t="str">
        <f>IF(LEN(A139)&gt;2,D139,"")</f>
        <v/>
      </c>
      <c r="R139" t="str">
        <f>IF(LEN(A139)&gt;2,E139,"")</f>
        <v/>
      </c>
      <c r="S139" t="str">
        <f>IF(LEN(A139)&gt;2,B139,"")</f>
        <v/>
      </c>
      <c r="T139" s="101" t="str">
        <f>IF(LEN(A139)&gt;0,M139,"")</f>
        <v/>
      </c>
      <c r="U139" t="str">
        <f>IF(LEN(A139)&gt;0,TRUE,"")</f>
        <v/>
      </c>
    </row>
    <row r="140" spans="15:21" x14ac:dyDescent="0.25">
      <c r="O140" t="str">
        <f>IF(LEN(A140)&gt;0,A140,"")</f>
        <v/>
      </c>
      <c r="P140" t="str">
        <f>IF(LEN(A140)&gt;0,C140,"")</f>
        <v/>
      </c>
      <c r="Q140" t="str">
        <f>IF(LEN(A140)&gt;2,D140,"")</f>
        <v/>
      </c>
      <c r="R140" t="str">
        <f>IF(LEN(A140)&gt;2,E140,"")</f>
        <v/>
      </c>
      <c r="S140" t="str">
        <f>IF(LEN(A140)&gt;2,B140,"")</f>
        <v/>
      </c>
      <c r="T140" s="101" t="str">
        <f>IF(LEN(A140)&gt;0,M140,"")</f>
        <v/>
      </c>
      <c r="U140" t="str">
        <f>IF(LEN(A140)&gt;0,TRUE,"")</f>
        <v/>
      </c>
    </row>
    <row r="141" spans="15:21" x14ac:dyDescent="0.25">
      <c r="O141" t="str">
        <f>IF(LEN(A141)&gt;0,A141,"")</f>
        <v/>
      </c>
      <c r="P141" t="str">
        <f>IF(LEN(A141)&gt;0,C141,"")</f>
        <v/>
      </c>
      <c r="Q141" t="str">
        <f>IF(LEN(A141)&gt;2,D141,"")</f>
        <v/>
      </c>
      <c r="R141" t="str">
        <f>IF(LEN(A141)&gt;2,E141,"")</f>
        <v/>
      </c>
      <c r="S141" t="str">
        <f>IF(LEN(A141)&gt;2,B141,"")</f>
        <v/>
      </c>
      <c r="T141" s="101" t="str">
        <f>IF(LEN(A141)&gt;0,M141,"")</f>
        <v/>
      </c>
      <c r="U141" t="str">
        <f>IF(LEN(A141)&gt;0,TRUE,"")</f>
        <v/>
      </c>
    </row>
    <row r="142" spans="15:21" x14ac:dyDescent="0.25">
      <c r="O142" t="str">
        <f>IF(LEN(A142)&gt;0,A142,"")</f>
        <v/>
      </c>
      <c r="P142" t="str">
        <f>IF(LEN(A142)&gt;0,C142,"")</f>
        <v/>
      </c>
      <c r="Q142" t="str">
        <f>IF(LEN(A142)&gt;2,D142,"")</f>
        <v/>
      </c>
      <c r="R142" t="str">
        <f>IF(LEN(A142)&gt;2,E142,"")</f>
        <v/>
      </c>
      <c r="S142" t="str">
        <f>IF(LEN(A142)&gt;2,B142,"")</f>
        <v/>
      </c>
      <c r="T142" s="101" t="str">
        <f>IF(LEN(A142)&gt;0,M142,"")</f>
        <v/>
      </c>
      <c r="U142" t="str">
        <f>IF(LEN(A142)&gt;0,TRUE,"")</f>
        <v/>
      </c>
    </row>
    <row r="143" spans="15:21" x14ac:dyDescent="0.25">
      <c r="O143" t="str">
        <f>IF(LEN(A143)&gt;0,A143,"")</f>
        <v/>
      </c>
      <c r="P143" t="str">
        <f>IF(LEN(A143)&gt;0,C143,"")</f>
        <v/>
      </c>
      <c r="Q143" t="str">
        <f>IF(LEN(A143)&gt;2,D143,"")</f>
        <v/>
      </c>
      <c r="R143" t="str">
        <f>IF(LEN(A143)&gt;2,E143,"")</f>
        <v/>
      </c>
      <c r="S143" t="str">
        <f>IF(LEN(A143)&gt;2,B143,"")</f>
        <v/>
      </c>
      <c r="T143" s="101" t="str">
        <f>IF(LEN(A143)&gt;0,M143,"")</f>
        <v/>
      </c>
      <c r="U143" t="str">
        <f>IF(LEN(A143)&gt;0,TRUE,"")</f>
        <v/>
      </c>
    </row>
    <row r="144" spans="15:21" x14ac:dyDescent="0.25">
      <c r="O144" t="str">
        <f>IF(LEN(A144)&gt;0,A144,"")</f>
        <v/>
      </c>
      <c r="P144" t="str">
        <f>IF(LEN(A144)&gt;0,C144,"")</f>
        <v/>
      </c>
      <c r="Q144" t="str">
        <f>IF(LEN(A144)&gt;2,D144,"")</f>
        <v/>
      </c>
      <c r="R144" t="str">
        <f>IF(LEN(A144)&gt;2,E144,"")</f>
        <v/>
      </c>
      <c r="S144" t="str">
        <f>IF(LEN(A144)&gt;2,B144,"")</f>
        <v/>
      </c>
      <c r="T144" s="101" t="str">
        <f>IF(LEN(A144)&gt;0,M144,"")</f>
        <v/>
      </c>
      <c r="U144" t="str">
        <f>IF(LEN(A144)&gt;0,TRUE,"")</f>
        <v/>
      </c>
    </row>
    <row r="145" spans="15:21" x14ac:dyDescent="0.25">
      <c r="O145" t="str">
        <f>IF(LEN(A145)&gt;0,A145,"")</f>
        <v/>
      </c>
      <c r="P145" t="str">
        <f>IF(LEN(A145)&gt;0,C145,"")</f>
        <v/>
      </c>
      <c r="Q145" t="str">
        <f>IF(LEN(A145)&gt;2,D145,"")</f>
        <v/>
      </c>
      <c r="R145" t="str">
        <f>IF(LEN(A145)&gt;2,E145,"")</f>
        <v/>
      </c>
      <c r="S145" t="str">
        <f>IF(LEN(A145)&gt;2,B145,"")</f>
        <v/>
      </c>
      <c r="T145" s="101" t="str">
        <f>IF(LEN(A145)&gt;0,M145,"")</f>
        <v/>
      </c>
      <c r="U145" t="str">
        <f>IF(LEN(A145)&gt;0,TRUE,"")</f>
        <v/>
      </c>
    </row>
    <row r="146" spans="15:21" x14ac:dyDescent="0.25">
      <c r="O146" t="str">
        <f>IF(LEN(A146)&gt;0,A146,"")</f>
        <v/>
      </c>
      <c r="P146" t="str">
        <f>IF(LEN(A146)&gt;0,C146,"")</f>
        <v/>
      </c>
      <c r="Q146" t="str">
        <f>IF(LEN(A146)&gt;2,D146,"")</f>
        <v/>
      </c>
      <c r="R146" t="str">
        <f>IF(LEN(A146)&gt;2,E146,"")</f>
        <v/>
      </c>
      <c r="S146" t="str">
        <f>IF(LEN(A146)&gt;2,B146,"")</f>
        <v/>
      </c>
      <c r="T146" s="101" t="str">
        <f>IF(LEN(A146)&gt;0,M146,"")</f>
        <v/>
      </c>
      <c r="U146" t="str">
        <f>IF(LEN(A146)&gt;0,TRUE,"")</f>
        <v/>
      </c>
    </row>
    <row r="147" spans="15:21" x14ac:dyDescent="0.25">
      <c r="O147" t="str">
        <f>IF(LEN(A147)&gt;0,A147,"")</f>
        <v/>
      </c>
      <c r="P147" t="str">
        <f>IF(LEN(A147)&gt;0,C147,"")</f>
        <v/>
      </c>
      <c r="Q147" t="str">
        <f>IF(LEN(A147)&gt;2,D147,"")</f>
        <v/>
      </c>
      <c r="R147" t="str">
        <f>IF(LEN(A147)&gt;2,E147,"")</f>
        <v/>
      </c>
      <c r="S147" t="str">
        <f>IF(LEN(A147)&gt;2,B147,"")</f>
        <v/>
      </c>
      <c r="T147" s="101" t="str">
        <f>IF(LEN(A147)&gt;0,M147,"")</f>
        <v/>
      </c>
      <c r="U147" t="str">
        <f>IF(LEN(A147)&gt;0,TRUE,"")</f>
        <v/>
      </c>
    </row>
    <row r="148" spans="15:21" x14ac:dyDescent="0.25">
      <c r="O148" t="str">
        <f>IF(LEN(A148)&gt;0,A148,"")</f>
        <v/>
      </c>
      <c r="P148" t="str">
        <f>IF(LEN(A148)&gt;0,C148,"")</f>
        <v/>
      </c>
      <c r="Q148" t="str">
        <f>IF(LEN(A148)&gt;2,D148,"")</f>
        <v/>
      </c>
      <c r="R148" t="str">
        <f>IF(LEN(A148)&gt;2,E148,"")</f>
        <v/>
      </c>
      <c r="S148" t="str">
        <f>IF(LEN(A148)&gt;2,B148,"")</f>
        <v/>
      </c>
      <c r="T148" s="101" t="str">
        <f>IF(LEN(A148)&gt;0,M148,"")</f>
        <v/>
      </c>
      <c r="U148" t="str">
        <f>IF(LEN(A148)&gt;0,TRUE,"")</f>
        <v/>
      </c>
    </row>
    <row r="149" spans="15:21" x14ac:dyDescent="0.25">
      <c r="O149" t="str">
        <f>IF(LEN(A149)&gt;0,A149,"")</f>
        <v/>
      </c>
      <c r="P149" t="str">
        <f>IF(LEN(A149)&gt;0,C149,"")</f>
        <v/>
      </c>
      <c r="Q149" t="str">
        <f>IF(LEN(A149)&gt;2,D149,"")</f>
        <v/>
      </c>
      <c r="R149" t="str">
        <f>IF(LEN(A149)&gt;2,E149,"")</f>
        <v/>
      </c>
      <c r="S149" t="str">
        <f>IF(LEN(A149)&gt;2,B149,"")</f>
        <v/>
      </c>
      <c r="T149" s="101" t="str">
        <f>IF(LEN(A149)&gt;0,M149,"")</f>
        <v/>
      </c>
      <c r="U149" t="str">
        <f>IF(LEN(A149)&gt;0,TRUE,"")</f>
        <v/>
      </c>
    </row>
    <row r="150" spans="15:21" x14ac:dyDescent="0.25">
      <c r="O150" t="str">
        <f>IF(LEN(A150)&gt;0,A150,"")</f>
        <v/>
      </c>
      <c r="P150" t="str">
        <f>IF(LEN(A150)&gt;0,C150,"")</f>
        <v/>
      </c>
      <c r="Q150" t="str">
        <f>IF(LEN(A150)&gt;2,D150,"")</f>
        <v/>
      </c>
      <c r="R150" t="str">
        <f>IF(LEN(A150)&gt;2,E150,"")</f>
        <v/>
      </c>
      <c r="S150" t="str">
        <f>IF(LEN(A150)&gt;2,B150,"")</f>
        <v/>
      </c>
      <c r="T150" s="101" t="str">
        <f>IF(LEN(A150)&gt;0,M150,"")</f>
        <v/>
      </c>
      <c r="U150" t="str">
        <f>IF(LEN(A150)&gt;0,TRUE,"")</f>
        <v/>
      </c>
    </row>
    <row r="151" spans="15:21" x14ac:dyDescent="0.25">
      <c r="O151" t="str">
        <f>IF(LEN(A151)&gt;0,A151,"")</f>
        <v/>
      </c>
      <c r="P151" t="str">
        <f>IF(LEN(A151)&gt;0,C151,"")</f>
        <v/>
      </c>
      <c r="Q151" t="str">
        <f>IF(LEN(A151)&gt;2,D151,"")</f>
        <v/>
      </c>
      <c r="R151" t="str">
        <f>IF(LEN(A151)&gt;2,E151,"")</f>
        <v/>
      </c>
      <c r="S151" t="str">
        <f>IF(LEN(A151)&gt;2,B151,"")</f>
        <v/>
      </c>
      <c r="T151" s="101" t="str">
        <f>IF(LEN(A151)&gt;0,M151,"")</f>
        <v/>
      </c>
      <c r="U151" t="str">
        <f>IF(LEN(A151)&gt;0,TRUE,"")</f>
        <v/>
      </c>
    </row>
    <row r="152" spans="15:21" x14ac:dyDescent="0.25">
      <c r="O152" t="str">
        <f>IF(LEN(A152)&gt;0,A152,"")</f>
        <v/>
      </c>
      <c r="P152" t="str">
        <f>IF(LEN(A152)&gt;0,C152,"")</f>
        <v/>
      </c>
      <c r="Q152" t="str">
        <f>IF(LEN(A152)&gt;2,D152,"")</f>
        <v/>
      </c>
      <c r="R152" t="str">
        <f>IF(LEN(A152)&gt;2,E152,"")</f>
        <v/>
      </c>
      <c r="S152" t="str">
        <f>IF(LEN(A152)&gt;2,B152,"")</f>
        <v/>
      </c>
      <c r="T152" s="101" t="str">
        <f>IF(LEN(A152)&gt;0,M152,"")</f>
        <v/>
      </c>
      <c r="U152" t="str">
        <f>IF(LEN(A152)&gt;0,TRUE,"")</f>
        <v/>
      </c>
    </row>
    <row r="153" spans="15:21" x14ac:dyDescent="0.25">
      <c r="O153" t="str">
        <f>IF(LEN(A153)&gt;0,A153,"")</f>
        <v/>
      </c>
      <c r="P153" t="str">
        <f>IF(LEN(A153)&gt;0,C153,"")</f>
        <v/>
      </c>
      <c r="Q153" t="str">
        <f>IF(LEN(A153)&gt;2,D153,"")</f>
        <v/>
      </c>
      <c r="R153" t="str">
        <f>IF(LEN(A153)&gt;2,E153,"")</f>
        <v/>
      </c>
      <c r="S153" t="str">
        <f>IF(LEN(A153)&gt;2,B153,"")</f>
        <v/>
      </c>
      <c r="T153" s="101" t="str">
        <f>IF(LEN(A153)&gt;0,M153,"")</f>
        <v/>
      </c>
      <c r="U153" t="str">
        <f>IF(LEN(A153)&gt;0,TRUE,"")</f>
        <v/>
      </c>
    </row>
    <row r="154" spans="15:21" x14ac:dyDescent="0.25">
      <c r="O154" t="str">
        <f>IF(LEN(A154)&gt;0,A154,"")</f>
        <v/>
      </c>
      <c r="P154" t="str">
        <f>IF(LEN(A154)&gt;0,C154,"")</f>
        <v/>
      </c>
      <c r="Q154" t="str">
        <f>IF(LEN(A154)&gt;2,D154,"")</f>
        <v/>
      </c>
      <c r="R154" t="str">
        <f>IF(LEN(A154)&gt;2,E154,"")</f>
        <v/>
      </c>
      <c r="S154" t="str">
        <f>IF(LEN(A154)&gt;2,B154,"")</f>
        <v/>
      </c>
      <c r="T154" s="101" t="str">
        <f>IF(LEN(A154)&gt;0,M154,"")</f>
        <v/>
      </c>
      <c r="U154" t="str">
        <f>IF(LEN(A154)&gt;0,TRUE,"")</f>
        <v/>
      </c>
    </row>
    <row r="155" spans="15:21" x14ac:dyDescent="0.25">
      <c r="O155" t="str">
        <f>IF(LEN(A155)&gt;0,A155,"")</f>
        <v/>
      </c>
      <c r="P155" t="str">
        <f>IF(LEN(A155)&gt;0,C155,"")</f>
        <v/>
      </c>
      <c r="Q155" t="str">
        <f>IF(LEN(A155)&gt;2,D155,"")</f>
        <v/>
      </c>
      <c r="R155" t="str">
        <f>IF(LEN(A155)&gt;2,E155,"")</f>
        <v/>
      </c>
      <c r="S155" t="str">
        <f>IF(LEN(A155)&gt;2,B155,"")</f>
        <v/>
      </c>
      <c r="T155" s="101" t="str">
        <f>IF(LEN(A155)&gt;0,M155,"")</f>
        <v/>
      </c>
      <c r="U155" t="str">
        <f>IF(LEN(A155)&gt;0,TRUE,"")</f>
        <v/>
      </c>
    </row>
    <row r="156" spans="15:21" x14ac:dyDescent="0.25">
      <c r="O156" t="str">
        <f>IF(LEN(A156)&gt;0,A156,"")</f>
        <v/>
      </c>
      <c r="P156" t="str">
        <f>IF(LEN(A156)&gt;0,C156,"")</f>
        <v/>
      </c>
      <c r="Q156" t="str">
        <f>IF(LEN(A156)&gt;2,D156,"")</f>
        <v/>
      </c>
      <c r="R156" t="str">
        <f>IF(LEN(A156)&gt;2,E156,"")</f>
        <v/>
      </c>
      <c r="S156" t="str">
        <f>IF(LEN(A156)&gt;2,B156,"")</f>
        <v/>
      </c>
      <c r="T156" s="101" t="str">
        <f>IF(LEN(A156)&gt;0,M156,"")</f>
        <v/>
      </c>
      <c r="U156" t="str">
        <f>IF(LEN(A156)&gt;0,TRUE,"")</f>
        <v/>
      </c>
    </row>
    <row r="157" spans="15:21" x14ac:dyDescent="0.25">
      <c r="O157" t="str">
        <f>IF(LEN(A157)&gt;0,A157,"")</f>
        <v/>
      </c>
      <c r="P157" t="str">
        <f>IF(LEN(A157)&gt;0,C157,"")</f>
        <v/>
      </c>
      <c r="Q157" t="str">
        <f>IF(LEN(A157)&gt;2,D157,"")</f>
        <v/>
      </c>
      <c r="R157" t="str">
        <f>IF(LEN(A157)&gt;2,E157,"")</f>
        <v/>
      </c>
      <c r="S157" t="str">
        <f>IF(LEN(A157)&gt;2,B157,"")</f>
        <v/>
      </c>
      <c r="T157" s="101" t="str">
        <f>IF(LEN(A157)&gt;0,M157,"")</f>
        <v/>
      </c>
      <c r="U157" t="str">
        <f>IF(LEN(A157)&gt;0,TRUE,"")</f>
        <v/>
      </c>
    </row>
    <row r="158" spans="15:21" x14ac:dyDescent="0.25">
      <c r="O158" t="str">
        <f>IF(LEN(A158)&gt;0,A158,"")</f>
        <v/>
      </c>
      <c r="P158" t="str">
        <f>IF(LEN(A158)&gt;0,C158,"")</f>
        <v/>
      </c>
      <c r="Q158" t="str">
        <f>IF(LEN(A158)&gt;2,D158,"")</f>
        <v/>
      </c>
      <c r="R158" t="str">
        <f>IF(LEN(A158)&gt;2,E158,"")</f>
        <v/>
      </c>
      <c r="S158" t="str">
        <f>IF(LEN(A158)&gt;2,B158,"")</f>
        <v/>
      </c>
      <c r="T158" s="101" t="str">
        <f>IF(LEN(A158)&gt;0,M158,"")</f>
        <v/>
      </c>
      <c r="U158" t="str">
        <f>IF(LEN(A158)&gt;0,TRUE,"")</f>
        <v/>
      </c>
    </row>
    <row r="159" spans="15:21" x14ac:dyDescent="0.25">
      <c r="O159" t="str">
        <f>IF(LEN(A159)&gt;0,A159,"")</f>
        <v/>
      </c>
      <c r="P159" t="str">
        <f>IF(LEN(A159)&gt;0,C159,"")</f>
        <v/>
      </c>
      <c r="Q159" t="str">
        <f>IF(LEN(A159)&gt;2,D159,"")</f>
        <v/>
      </c>
      <c r="R159" t="str">
        <f>IF(LEN(A159)&gt;2,E159,"")</f>
        <v/>
      </c>
      <c r="S159" t="str">
        <f>IF(LEN(A159)&gt;2,B159,"")</f>
        <v/>
      </c>
      <c r="T159" s="101" t="str">
        <f>IF(LEN(A159)&gt;0,M159,"")</f>
        <v/>
      </c>
      <c r="U159" t="str">
        <f>IF(LEN(A159)&gt;0,TRUE,"")</f>
        <v/>
      </c>
    </row>
    <row r="160" spans="15:21" x14ac:dyDescent="0.25">
      <c r="O160" t="str">
        <f>IF(LEN(A160)&gt;0,A160,"")</f>
        <v/>
      </c>
      <c r="P160" t="str">
        <f>IF(LEN(A160)&gt;0,C160,"")</f>
        <v/>
      </c>
      <c r="Q160" t="str">
        <f>IF(LEN(A160)&gt;2,D160,"")</f>
        <v/>
      </c>
      <c r="R160" t="str">
        <f>IF(LEN(A160)&gt;2,E160,"")</f>
        <v/>
      </c>
      <c r="S160" t="str">
        <f>IF(LEN(A160)&gt;2,B160,"")</f>
        <v/>
      </c>
      <c r="T160" s="101" t="str">
        <f>IF(LEN(A160)&gt;0,M160,"")</f>
        <v/>
      </c>
      <c r="U160" t="str">
        <f>IF(LEN(A160)&gt;0,TRUE,"")</f>
        <v/>
      </c>
    </row>
    <row r="161" spans="15:21" x14ac:dyDescent="0.25">
      <c r="O161" t="str">
        <f>IF(LEN(A161)&gt;0,A161,"")</f>
        <v/>
      </c>
      <c r="P161" t="str">
        <f>IF(LEN(A161)&gt;0,C161,"")</f>
        <v/>
      </c>
      <c r="Q161" t="str">
        <f>IF(LEN(A161)&gt;2,D161,"")</f>
        <v/>
      </c>
      <c r="R161" t="str">
        <f>IF(LEN(A161)&gt;2,E161,"")</f>
        <v/>
      </c>
      <c r="S161" t="str">
        <f>IF(LEN(A161)&gt;2,B161,"")</f>
        <v/>
      </c>
      <c r="T161" s="101" t="str">
        <f>IF(LEN(A161)&gt;0,M161,"")</f>
        <v/>
      </c>
      <c r="U161" t="str">
        <f>IF(LEN(A161)&gt;0,TRUE,"")</f>
        <v/>
      </c>
    </row>
  </sheetData>
  <sortState xmlns:xlrd2="http://schemas.microsoft.com/office/spreadsheetml/2017/richdata2" ref="A2:U161">
    <sortCondition ref="A2:A16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113C-E800-48FB-9D3C-D4A2C2B2A229}">
  <sheetPr codeName="PlayerHandicaps"/>
  <dimension ref="A1:P116"/>
  <sheetViews>
    <sheetView showGridLines="0" workbookViewId="0">
      <pane ySplit="1" topLeftCell="A2" activePane="bottomLeft" state="frozen"/>
      <selection pane="bottomLeft" activeCell="P17" sqref="P17"/>
    </sheetView>
  </sheetViews>
  <sheetFormatPr defaultRowHeight="15" x14ac:dyDescent="0.25"/>
  <cols>
    <col min="1" max="1" width="11.42578125" style="51" bestFit="1" customWidth="1"/>
    <col min="2" max="2" width="14.85546875" style="89" bestFit="1" customWidth="1"/>
    <col min="3" max="3" width="8.28515625" style="92" bestFit="1" customWidth="1"/>
    <col min="4" max="4" width="9.140625" style="75"/>
    <col min="5" max="5" width="9.140625" style="76"/>
    <col min="6" max="6" width="9.140625" style="95"/>
    <col min="7" max="7" width="9.140625" style="98"/>
    <col min="8" max="8" width="9.140625" style="100"/>
    <col min="9" max="9" width="9.140625" style="95"/>
    <col min="10" max="10" width="9.140625" style="92"/>
    <col min="11" max="11" width="9.140625" style="76"/>
    <col min="12" max="12" width="9.140625" style="75"/>
    <col min="13" max="13" width="9.140625" style="76"/>
    <col min="14" max="14" width="27.140625" style="51" customWidth="1"/>
    <col min="15" max="15" width="21" style="51" customWidth="1"/>
    <col min="16" max="16" width="95.7109375" style="51" customWidth="1"/>
    <col min="17" max="16384" width="9.140625" style="51"/>
  </cols>
  <sheetData>
    <row r="1" spans="1:16" ht="60" x14ac:dyDescent="0.25">
      <c r="A1" s="48" t="s">
        <v>220</v>
      </c>
      <c r="B1" s="86" t="s">
        <v>221</v>
      </c>
      <c r="C1" s="90" t="s">
        <v>229</v>
      </c>
      <c r="D1" s="49" t="s">
        <v>230</v>
      </c>
      <c r="E1" s="49" t="s">
        <v>231</v>
      </c>
      <c r="F1" s="93" t="s">
        <v>232</v>
      </c>
      <c r="G1" s="96" t="s">
        <v>233</v>
      </c>
      <c r="H1" s="90" t="s">
        <v>234</v>
      </c>
      <c r="I1" s="93" t="s">
        <v>235</v>
      </c>
      <c r="J1" s="90" t="s">
        <v>226</v>
      </c>
      <c r="K1" s="49" t="s">
        <v>227</v>
      </c>
      <c r="L1" s="49" t="s">
        <v>222</v>
      </c>
      <c r="M1" s="49" t="s">
        <v>228</v>
      </c>
      <c r="N1" s="48" t="s">
        <v>224</v>
      </c>
      <c r="O1" s="48" t="s">
        <v>225</v>
      </c>
      <c r="P1" s="50" t="s">
        <v>223</v>
      </c>
    </row>
    <row r="2" spans="1:16" x14ac:dyDescent="0.25">
      <c r="A2" s="73" t="s">
        <v>184</v>
      </c>
      <c r="B2" s="87" t="s">
        <v>185</v>
      </c>
      <c r="C2" s="91"/>
      <c r="D2" s="74"/>
      <c r="E2" s="52" t="str">
        <f t="shared" ref="E2:E71" si="0">IF(NOT(ISBLANK(D2)),(C2+D2)/2,"")</f>
        <v/>
      </c>
      <c r="F2" s="94" t="str">
        <f t="shared" ref="F2:F71" si="1">IF(ISNUMBER(E2),(E2-69.8)*(113/118),"")</f>
        <v/>
      </c>
      <c r="G2" s="97"/>
      <c r="H2" s="99">
        <v>92.476102030635502</v>
      </c>
      <c r="I2" s="94">
        <f t="shared" ref="I2:I71" si="2">IF(ISNUMBER(H2),(H2-69.8)*(113/118),"")</f>
        <v>21.715250249676373</v>
      </c>
      <c r="J2" s="92" t="s">
        <v>17</v>
      </c>
      <c r="K2" s="77">
        <f>IF(AND(J2=1,ISNUMBER(E2)),E2,IF(AND(J2=2,ISNUMBER(G2)),G2,IF(AND(J2=3,ISNUMBER(I2)),I2,IF(AND(J2="Average",OR(ISNUMBER(F2),ISNUMBER(G2),ISNUMBER(I2))),AVERAGE(F2,G2,I2),""))))</f>
        <v>21.715250249676373</v>
      </c>
      <c r="M2" s="77">
        <f>IF(ISNUMBER(L2),K2*(1-0.05*L2),K2)</f>
        <v>21.715250249676373</v>
      </c>
    </row>
    <row r="3" spans="1:16" x14ac:dyDescent="0.25">
      <c r="A3" s="73" t="s">
        <v>186</v>
      </c>
      <c r="B3" s="87" t="s">
        <v>185</v>
      </c>
      <c r="C3" s="91"/>
      <c r="D3" s="74"/>
      <c r="E3" s="52" t="str">
        <f t="shared" si="0"/>
        <v/>
      </c>
      <c r="F3" s="94" t="str">
        <f t="shared" si="1"/>
        <v/>
      </c>
      <c r="G3" s="97"/>
      <c r="H3" s="99">
        <v>96.476951625174394</v>
      </c>
      <c r="I3" s="94">
        <f t="shared" si="2"/>
        <v>25.546572319022939</v>
      </c>
      <c r="J3" s="92" t="s">
        <v>17</v>
      </c>
      <c r="K3" s="77">
        <f t="shared" ref="K3:K116" si="3">IF(AND(J3=1,ISNUMBER(E3)),E3,IF(AND(J3=2,ISNUMBER(G3)),G3,IF(AND(J3=3,ISNUMBER(I3)),I3,IF(AND(J3="Average",OR(ISNUMBER(F3),ISNUMBER(G3),ISNUMBER(I3))),AVERAGE(F3,G3,I3),""))))</f>
        <v>25.546572319022939</v>
      </c>
      <c r="M3" s="77">
        <f t="shared" ref="M3:M99" si="4">IF(ISNUMBER(L3),K3*(1-0.05*L3),K3)</f>
        <v>25.546572319022939</v>
      </c>
    </row>
    <row r="4" spans="1:16" x14ac:dyDescent="0.25">
      <c r="A4" s="73" t="s">
        <v>196</v>
      </c>
      <c r="B4" s="87" t="s">
        <v>274</v>
      </c>
      <c r="C4" s="91"/>
      <c r="D4" s="74"/>
      <c r="E4" s="52" t="str">
        <f t="shared" si="0"/>
        <v/>
      </c>
      <c r="F4" s="94" t="str">
        <f t="shared" si="1"/>
        <v/>
      </c>
      <c r="G4" s="97">
        <v>8</v>
      </c>
      <c r="H4" s="99">
        <v>98.871988485385302</v>
      </c>
      <c r="I4" s="94">
        <f t="shared" si="2"/>
        <v>27.840124566513047</v>
      </c>
      <c r="J4" s="92" t="s">
        <v>17</v>
      </c>
      <c r="K4" s="77">
        <f t="shared" si="3"/>
        <v>17.920062283256524</v>
      </c>
      <c r="M4" s="77">
        <f t="shared" si="4"/>
        <v>17.920062283256524</v>
      </c>
    </row>
    <row r="5" spans="1:16" x14ac:dyDescent="0.25">
      <c r="A5" s="73" t="s">
        <v>256</v>
      </c>
      <c r="B5" s="87" t="s">
        <v>257</v>
      </c>
      <c r="C5" s="91">
        <v>108</v>
      </c>
      <c r="D5" s="74">
        <v>108</v>
      </c>
      <c r="E5" s="52">
        <f t="shared" si="0"/>
        <v>108</v>
      </c>
      <c r="F5" s="94">
        <f t="shared" si="1"/>
        <v>36.581355932203394</v>
      </c>
      <c r="G5" s="97"/>
      <c r="H5" s="99"/>
      <c r="I5" s="94" t="str">
        <f t="shared" si="2"/>
        <v/>
      </c>
      <c r="J5" s="92" t="s">
        <v>17</v>
      </c>
      <c r="K5" s="77">
        <f t="shared" si="3"/>
        <v>36.581355932203394</v>
      </c>
      <c r="M5" s="77">
        <f t="shared" si="4"/>
        <v>36.581355932203394</v>
      </c>
    </row>
    <row r="6" spans="1:16" x14ac:dyDescent="0.25">
      <c r="A6" s="73" t="s">
        <v>214</v>
      </c>
      <c r="B6" s="87" t="s">
        <v>215</v>
      </c>
      <c r="C6" s="91"/>
      <c r="D6" s="74"/>
      <c r="E6" s="52" t="str">
        <f t="shared" si="0"/>
        <v/>
      </c>
      <c r="F6" s="94" t="str">
        <f t="shared" si="1"/>
        <v/>
      </c>
      <c r="G6" s="97">
        <v>7.8</v>
      </c>
      <c r="H6" s="99"/>
      <c r="I6" s="94" t="str">
        <f t="shared" si="2"/>
        <v/>
      </c>
      <c r="J6" s="92" t="s">
        <v>17</v>
      </c>
      <c r="K6" s="77">
        <f t="shared" si="3"/>
        <v>7.8</v>
      </c>
      <c r="M6" s="77">
        <f t="shared" si="4"/>
        <v>7.8</v>
      </c>
    </row>
    <row r="7" spans="1:16" x14ac:dyDescent="0.25">
      <c r="A7" s="78" t="s">
        <v>377</v>
      </c>
      <c r="B7" s="88" t="s">
        <v>215</v>
      </c>
      <c r="C7" s="91">
        <v>115</v>
      </c>
      <c r="D7" s="74">
        <v>115</v>
      </c>
      <c r="E7" s="52">
        <f t="shared" ref="E7" si="5">IF(NOT(ISBLANK(D7)),(C7+D7)/2,"")</f>
        <v>115</v>
      </c>
      <c r="F7" s="94">
        <f t="shared" ref="F7" si="6">IF(ISNUMBER(E7),(E7-69.8)*(113/118),"")</f>
        <v>43.284745762711864</v>
      </c>
      <c r="G7" s="97">
        <v>7.8</v>
      </c>
      <c r="H7" s="99"/>
      <c r="I7" s="94" t="str">
        <f t="shared" ref="I7" si="7">IF(ISNUMBER(H7),(H7-69.8)*(113/118),"")</f>
        <v/>
      </c>
      <c r="J7" s="92" t="s">
        <v>17</v>
      </c>
      <c r="K7" s="77">
        <f t="shared" ref="K7" si="8">IF(AND(J7=1,ISNUMBER(E7)),E7,IF(AND(J7=2,ISNUMBER(G7)),G7,IF(AND(J7=3,ISNUMBER(I7)),I7,IF(AND(J7="Average",OR(ISNUMBER(F7),ISNUMBER(G7),ISNUMBER(I7))),AVERAGE(F7,G7,I7),""))))</f>
        <v>25.542372881355931</v>
      </c>
      <c r="M7" s="77">
        <f t="shared" ref="M7" si="9">IF(ISNUMBER(L7),K7*(1-0.05*L7),K7)</f>
        <v>25.542372881355931</v>
      </c>
    </row>
    <row r="8" spans="1:16" x14ac:dyDescent="0.25">
      <c r="A8" s="73" t="s">
        <v>370</v>
      </c>
      <c r="B8" s="87" t="s">
        <v>215</v>
      </c>
      <c r="C8" s="91">
        <v>95</v>
      </c>
      <c r="D8" s="74">
        <v>100</v>
      </c>
      <c r="E8" s="52">
        <f t="shared" ref="E8" si="10">IF(NOT(ISBLANK(D8)),(C8+D8)/2,"")</f>
        <v>97.5</v>
      </c>
      <c r="F8" s="94">
        <f t="shared" ref="F8" si="11">IF(ISNUMBER(E8),(E8-69.8)*(113/118),"")</f>
        <v>26.526271186440681</v>
      </c>
      <c r="G8" s="97"/>
      <c r="H8" s="99"/>
      <c r="I8" s="94" t="str">
        <f t="shared" ref="I8" si="12">IF(ISNUMBER(H8),(H8-69.8)*(113/118),"")</f>
        <v/>
      </c>
      <c r="J8" s="92" t="s">
        <v>17</v>
      </c>
      <c r="K8" s="77">
        <f t="shared" ref="K8" si="13">IF(AND(J8=1,ISNUMBER(E8)),E8,IF(AND(J8=2,ISNUMBER(G8)),G8,IF(AND(J8=3,ISNUMBER(I8)),I8,IF(AND(J8="Average",OR(ISNUMBER(F8),ISNUMBER(G8),ISNUMBER(I8))),AVERAGE(F8,G8,I8),""))))</f>
        <v>26.526271186440681</v>
      </c>
      <c r="M8" s="77">
        <f t="shared" ref="M8" si="14">IF(ISNUMBER(L8),K8*(1-0.05*L8),K8)</f>
        <v>26.526271186440681</v>
      </c>
    </row>
    <row r="9" spans="1:16" x14ac:dyDescent="0.25">
      <c r="A9" s="73" t="s">
        <v>182</v>
      </c>
      <c r="B9" s="87" t="s">
        <v>183</v>
      </c>
      <c r="C9" s="91"/>
      <c r="D9" s="74"/>
      <c r="E9" s="52" t="str">
        <f t="shared" si="0"/>
        <v/>
      </c>
      <c r="F9" s="94" t="str">
        <f t="shared" si="1"/>
        <v/>
      </c>
      <c r="G9" s="97">
        <v>23</v>
      </c>
      <c r="H9" s="99"/>
      <c r="I9" s="94" t="str">
        <f t="shared" si="2"/>
        <v/>
      </c>
      <c r="J9" s="92" t="s">
        <v>17</v>
      </c>
      <c r="K9" s="77">
        <f t="shared" si="3"/>
        <v>23</v>
      </c>
      <c r="M9" s="77">
        <f t="shared" si="4"/>
        <v>23</v>
      </c>
    </row>
    <row r="10" spans="1:16" x14ac:dyDescent="0.25">
      <c r="A10" s="73" t="s">
        <v>175</v>
      </c>
      <c r="B10" s="87" t="s">
        <v>183</v>
      </c>
      <c r="C10" s="91">
        <v>97</v>
      </c>
      <c r="D10" s="74">
        <v>99</v>
      </c>
      <c r="E10" s="52">
        <f t="shared" ref="E10:E11" si="15">IF(NOT(ISBLANK(D10)),(C10+D10)/2,"")</f>
        <v>98</v>
      </c>
      <c r="F10" s="94">
        <f t="shared" ref="F10:F11" si="16">IF(ISNUMBER(E10),(E10-69.8)*(113/118),"")</f>
        <v>27.005084745762716</v>
      </c>
      <c r="G10" s="97"/>
      <c r="H10" s="99"/>
      <c r="I10" s="94" t="str">
        <f t="shared" ref="I10:I11" si="17">IF(ISNUMBER(H10),(H10-69.8)*(113/118),"")</f>
        <v/>
      </c>
      <c r="J10" s="92" t="s">
        <v>17</v>
      </c>
      <c r="K10" s="77">
        <f t="shared" ref="K10:K11" si="18">IF(AND(J10=1,ISNUMBER(E10)),E10,IF(AND(J10=2,ISNUMBER(G10)),G10,IF(AND(J10=3,ISNUMBER(I10)),I10,IF(AND(J10="Average",OR(ISNUMBER(F10),ISNUMBER(G10),ISNUMBER(I10))),AVERAGE(F10,G10,I10),""))))</f>
        <v>27.005084745762716</v>
      </c>
      <c r="M10" s="77">
        <f t="shared" ref="M10:M11" si="19">IF(ISNUMBER(L10),K10*(1-0.05*L10),K10)</f>
        <v>27.005084745762716</v>
      </c>
    </row>
    <row r="11" spans="1:16" x14ac:dyDescent="0.25">
      <c r="A11" s="73" t="s">
        <v>352</v>
      </c>
      <c r="B11" s="87" t="s">
        <v>183</v>
      </c>
      <c r="C11" s="91">
        <v>100</v>
      </c>
      <c r="D11" s="74">
        <v>105</v>
      </c>
      <c r="E11" s="52">
        <f t="shared" si="15"/>
        <v>102.5</v>
      </c>
      <c r="F11" s="94">
        <f t="shared" si="16"/>
        <v>31.31440677966102</v>
      </c>
      <c r="G11" s="97">
        <v>22.5</v>
      </c>
      <c r="H11" s="99"/>
      <c r="I11" s="94" t="str">
        <f t="shared" si="17"/>
        <v/>
      </c>
      <c r="J11" s="92" t="s">
        <v>17</v>
      </c>
      <c r="K11" s="77">
        <f t="shared" si="18"/>
        <v>26.90720338983051</v>
      </c>
      <c r="M11" s="77">
        <f t="shared" si="19"/>
        <v>26.90720338983051</v>
      </c>
    </row>
    <row r="12" spans="1:16" x14ac:dyDescent="0.25">
      <c r="A12" s="73" t="s">
        <v>353</v>
      </c>
      <c r="B12" s="87" t="s">
        <v>183</v>
      </c>
      <c r="C12" s="91">
        <v>100</v>
      </c>
      <c r="D12" s="74">
        <v>105</v>
      </c>
      <c r="E12" s="52">
        <f t="shared" ref="E12" si="20">IF(NOT(ISBLANK(D12)),(C12+D12)/2,"")</f>
        <v>102.5</v>
      </c>
      <c r="F12" s="94">
        <f t="shared" ref="F12" si="21">IF(ISNUMBER(E12),(E12-69.8)*(113/118),"")</f>
        <v>31.31440677966102</v>
      </c>
      <c r="G12" s="97">
        <v>38</v>
      </c>
      <c r="H12" s="99"/>
      <c r="I12" s="94" t="str">
        <f t="shared" ref="I12" si="22">IF(ISNUMBER(H12),(H12-69.8)*(113/118),"")</f>
        <v/>
      </c>
      <c r="J12" s="92" t="s">
        <v>17</v>
      </c>
      <c r="K12" s="77">
        <f t="shared" ref="K12" si="23">IF(AND(J12=1,ISNUMBER(E12)),E12,IF(AND(J12=2,ISNUMBER(G12)),G12,IF(AND(J12=3,ISNUMBER(I12)),I12,IF(AND(J12="Average",OR(ISNUMBER(F12),ISNUMBER(G12),ISNUMBER(I12))),AVERAGE(F12,G12,I12),""))))</f>
        <v>34.657203389830514</v>
      </c>
      <c r="M12" s="77">
        <f t="shared" ref="M12" si="24">IF(ISNUMBER(L12),K12*(1-0.05*L12),K12)</f>
        <v>34.657203389830514</v>
      </c>
    </row>
    <row r="13" spans="1:16" x14ac:dyDescent="0.25">
      <c r="A13" s="78" t="s">
        <v>330</v>
      </c>
      <c r="B13" s="88" t="s">
        <v>331</v>
      </c>
      <c r="C13" s="91">
        <v>110</v>
      </c>
      <c r="D13" s="74">
        <v>110</v>
      </c>
      <c r="E13" s="52">
        <f t="shared" si="0"/>
        <v>110</v>
      </c>
      <c r="F13" s="94">
        <f t="shared" si="1"/>
        <v>38.496610169491525</v>
      </c>
      <c r="G13" s="97"/>
      <c r="H13" s="99">
        <v>106.81</v>
      </c>
      <c r="I13" s="94">
        <f t="shared" si="2"/>
        <v>35.441779661016952</v>
      </c>
      <c r="J13" s="92" t="s">
        <v>17</v>
      </c>
      <c r="K13" s="77">
        <f t="shared" si="3"/>
        <v>36.969194915254235</v>
      </c>
      <c r="M13" s="77">
        <f t="shared" si="4"/>
        <v>36.969194915254235</v>
      </c>
    </row>
    <row r="14" spans="1:16" x14ac:dyDescent="0.25">
      <c r="A14" s="78" t="s">
        <v>328</v>
      </c>
      <c r="B14" s="88" t="s">
        <v>331</v>
      </c>
      <c r="C14" s="91">
        <v>110</v>
      </c>
      <c r="D14" s="74">
        <v>110</v>
      </c>
      <c r="E14" s="52">
        <f t="shared" si="0"/>
        <v>110</v>
      </c>
      <c r="F14" s="94">
        <f t="shared" si="1"/>
        <v>38.496610169491525</v>
      </c>
      <c r="G14" s="97"/>
      <c r="H14" s="99"/>
      <c r="I14" s="94" t="str">
        <f t="shared" si="2"/>
        <v/>
      </c>
      <c r="J14" s="92" t="s">
        <v>17</v>
      </c>
      <c r="K14" s="77">
        <f t="shared" si="3"/>
        <v>38.496610169491525</v>
      </c>
      <c r="M14" s="77">
        <f t="shared" si="4"/>
        <v>38.496610169491525</v>
      </c>
    </row>
    <row r="15" spans="1:16" x14ac:dyDescent="0.25">
      <c r="A15" s="78" t="s">
        <v>371</v>
      </c>
      <c r="B15" s="88" t="s">
        <v>331</v>
      </c>
      <c r="C15" s="91">
        <v>110</v>
      </c>
      <c r="D15" s="74">
        <v>110</v>
      </c>
      <c r="E15" s="52">
        <f t="shared" ref="E15:E16" si="25">IF(NOT(ISBLANK(D15)),(C15+D15)/2,"")</f>
        <v>110</v>
      </c>
      <c r="F15" s="94">
        <f t="shared" ref="F15:F16" si="26">IF(ISNUMBER(E15),(E15-69.8)*(113/118),"")</f>
        <v>38.496610169491525</v>
      </c>
      <c r="G15" s="97"/>
      <c r="H15" s="99"/>
      <c r="I15" s="94" t="str">
        <f t="shared" ref="I15:I16" si="27">IF(ISNUMBER(H15),(H15-69.8)*(113/118),"")</f>
        <v/>
      </c>
      <c r="J15" s="92" t="s">
        <v>17</v>
      </c>
      <c r="K15" s="77">
        <f t="shared" ref="K15:K16" si="28">IF(AND(J15=1,ISNUMBER(E15)),E15,IF(AND(J15=2,ISNUMBER(G15)),G15,IF(AND(J15=3,ISNUMBER(I15)),I15,IF(AND(J15="Average",OR(ISNUMBER(F15),ISNUMBER(G15),ISNUMBER(I15))),AVERAGE(F15,G15,I15),""))))</f>
        <v>38.496610169491525</v>
      </c>
      <c r="M15" s="77">
        <f t="shared" ref="M15:M16" si="29">IF(ISNUMBER(L15),K15*(1-0.05*L15),K15)</f>
        <v>38.496610169491525</v>
      </c>
    </row>
    <row r="16" spans="1:16" x14ac:dyDescent="0.25">
      <c r="A16" s="78" t="s">
        <v>408</v>
      </c>
      <c r="B16" s="88" t="s">
        <v>407</v>
      </c>
      <c r="C16" s="91">
        <v>95</v>
      </c>
      <c r="D16" s="74">
        <v>95</v>
      </c>
      <c r="E16" s="52">
        <f t="shared" si="25"/>
        <v>95</v>
      </c>
      <c r="F16" s="94">
        <f t="shared" si="26"/>
        <v>24.132203389830511</v>
      </c>
      <c r="G16" s="97"/>
      <c r="H16" s="99"/>
      <c r="I16" s="94" t="str">
        <f t="shared" si="27"/>
        <v/>
      </c>
      <c r="J16" s="92" t="s">
        <v>17</v>
      </c>
      <c r="K16" s="77">
        <f t="shared" si="28"/>
        <v>24.132203389830511</v>
      </c>
      <c r="M16" s="77">
        <f t="shared" si="29"/>
        <v>24.132203389830511</v>
      </c>
    </row>
    <row r="17" spans="1:13" x14ac:dyDescent="0.25">
      <c r="A17" s="78" t="s">
        <v>406</v>
      </c>
      <c r="B17" s="88" t="s">
        <v>407</v>
      </c>
      <c r="C17" s="91">
        <v>105</v>
      </c>
      <c r="D17" s="74">
        <v>105</v>
      </c>
      <c r="E17" s="52">
        <f t="shared" ref="E17" si="30">IF(NOT(ISBLANK(D17)),(C17+D17)/2,"")</f>
        <v>105</v>
      </c>
      <c r="F17" s="94">
        <f t="shared" ref="F17" si="31">IF(ISNUMBER(E17),(E17-69.8)*(113/118),"")</f>
        <v>33.708474576271186</v>
      </c>
      <c r="G17" s="97"/>
      <c r="H17" s="99"/>
      <c r="I17" s="94" t="str">
        <f t="shared" ref="I17" si="32">IF(ISNUMBER(H17),(H17-69.8)*(113/118),"")</f>
        <v/>
      </c>
      <c r="J17" s="92" t="s">
        <v>17</v>
      </c>
      <c r="K17" s="77">
        <f t="shared" ref="K17" si="33">IF(AND(J17=1,ISNUMBER(E17)),E17,IF(AND(J17=2,ISNUMBER(G17)),G17,IF(AND(J17=3,ISNUMBER(I17)),I17,IF(AND(J17="Average",OR(ISNUMBER(F17),ISNUMBER(G17),ISNUMBER(I17))),AVERAGE(F17,G17,I17),""))))</f>
        <v>33.708474576271186</v>
      </c>
      <c r="M17" s="77">
        <f t="shared" ref="M17" si="34">IF(ISNUMBER(L17),K17*(1-0.05*L17),K17)</f>
        <v>33.708474576271186</v>
      </c>
    </row>
    <row r="18" spans="1:13" x14ac:dyDescent="0.25">
      <c r="A18" s="78" t="s">
        <v>191</v>
      </c>
      <c r="B18" s="88" t="s">
        <v>326</v>
      </c>
      <c r="C18" s="91"/>
      <c r="D18" s="74"/>
      <c r="E18" s="52" t="str">
        <f t="shared" ref="E18" si="35">IF(NOT(ISBLANK(D18)),(C18+D18)/2,"")</f>
        <v/>
      </c>
      <c r="F18" s="94" t="str">
        <f t="shared" ref="F18" si="36">IF(ISNUMBER(E18),(E18-69.8)*(113/118),"")</f>
        <v/>
      </c>
      <c r="G18" s="97">
        <v>12.8</v>
      </c>
      <c r="H18" s="99">
        <v>86.02</v>
      </c>
      <c r="I18" s="94">
        <f t="shared" ref="I18" si="37">IF(ISNUMBER(H18),(H18-69.8)*(113/118),"")</f>
        <v>15.532711864406778</v>
      </c>
      <c r="J18" s="92" t="s">
        <v>17</v>
      </c>
      <c r="K18" s="77">
        <f t="shared" ref="K18" si="38">IF(AND(J18=1,ISNUMBER(E18)),E18,IF(AND(J18=2,ISNUMBER(G18)),G18,IF(AND(J18=3,ISNUMBER(I18)),I18,IF(AND(J18="Average",OR(ISNUMBER(F18),ISNUMBER(G18),ISNUMBER(I18))),AVERAGE(F18,G18,I18),""))))</f>
        <v>14.166355932203389</v>
      </c>
      <c r="M18" s="77">
        <f t="shared" si="4"/>
        <v>14.166355932203389</v>
      </c>
    </row>
    <row r="19" spans="1:13" x14ac:dyDescent="0.25">
      <c r="A19" s="73" t="s">
        <v>206</v>
      </c>
      <c r="B19" s="87" t="s">
        <v>207</v>
      </c>
      <c r="C19" s="91"/>
      <c r="D19" s="74"/>
      <c r="E19" s="52" t="str">
        <f t="shared" si="0"/>
        <v/>
      </c>
      <c r="F19" s="94" t="str">
        <f t="shared" si="1"/>
        <v/>
      </c>
      <c r="G19" s="97"/>
      <c r="H19" s="99">
        <v>90.191666666666706</v>
      </c>
      <c r="I19" s="94">
        <f t="shared" si="2"/>
        <v>19.527612994350321</v>
      </c>
      <c r="J19" s="92" t="s">
        <v>17</v>
      </c>
      <c r="K19" s="77">
        <f t="shared" si="3"/>
        <v>19.527612994350321</v>
      </c>
      <c r="M19" s="77">
        <f t="shared" si="4"/>
        <v>19.527612994350321</v>
      </c>
    </row>
    <row r="20" spans="1:13" x14ac:dyDescent="0.25">
      <c r="A20" s="73" t="s">
        <v>191</v>
      </c>
      <c r="B20" s="87" t="s">
        <v>207</v>
      </c>
      <c r="C20" s="91"/>
      <c r="D20" s="74"/>
      <c r="E20" s="52" t="str">
        <f t="shared" si="0"/>
        <v/>
      </c>
      <c r="F20" s="94" t="str">
        <f t="shared" si="1"/>
        <v/>
      </c>
      <c r="G20" s="97"/>
      <c r="H20" s="99">
        <v>89.953438156972695</v>
      </c>
      <c r="I20" s="94">
        <f t="shared" si="2"/>
        <v>19.299478913033177</v>
      </c>
      <c r="J20" s="92" t="s">
        <v>17</v>
      </c>
      <c r="K20" s="77">
        <f t="shared" si="3"/>
        <v>19.299478913033177</v>
      </c>
      <c r="M20" s="77">
        <f t="shared" si="4"/>
        <v>19.299478913033177</v>
      </c>
    </row>
    <row r="21" spans="1:13" x14ac:dyDescent="0.25">
      <c r="A21" s="78" t="s">
        <v>247</v>
      </c>
      <c r="B21" s="88" t="s">
        <v>246</v>
      </c>
      <c r="C21" s="91">
        <v>90</v>
      </c>
      <c r="D21" s="74">
        <v>90</v>
      </c>
      <c r="E21" s="52">
        <f t="shared" si="0"/>
        <v>90</v>
      </c>
      <c r="F21" s="94">
        <f t="shared" si="1"/>
        <v>19.344067796610172</v>
      </c>
      <c r="G21" s="97"/>
      <c r="H21" s="99"/>
      <c r="I21" s="94" t="str">
        <f t="shared" si="2"/>
        <v/>
      </c>
      <c r="J21" s="92" t="s">
        <v>17</v>
      </c>
      <c r="K21" s="77">
        <f t="shared" si="3"/>
        <v>19.344067796610172</v>
      </c>
      <c r="M21" s="77">
        <f t="shared" si="4"/>
        <v>19.344067796610172</v>
      </c>
    </row>
    <row r="22" spans="1:13" x14ac:dyDescent="0.25">
      <c r="A22" s="78" t="s">
        <v>247</v>
      </c>
      <c r="B22" s="88" t="s">
        <v>373</v>
      </c>
      <c r="C22" s="91">
        <v>95</v>
      </c>
      <c r="D22" s="74">
        <v>95</v>
      </c>
      <c r="E22" s="52">
        <f t="shared" ref="E22" si="39">IF(NOT(ISBLANK(D22)),(C22+D22)/2,"")</f>
        <v>95</v>
      </c>
      <c r="F22" s="94">
        <f t="shared" ref="F22" si="40">IF(ISNUMBER(E22),(E22-69.8)*(113/118),"")</f>
        <v>24.132203389830511</v>
      </c>
      <c r="G22" s="97"/>
      <c r="H22" s="99"/>
      <c r="I22" s="94" t="str">
        <f t="shared" ref="I22" si="41">IF(ISNUMBER(H22),(H22-69.8)*(113/118),"")</f>
        <v/>
      </c>
      <c r="J22" s="92" t="s">
        <v>17</v>
      </c>
      <c r="K22" s="77">
        <f t="shared" ref="K22" si="42">IF(AND(J22=1,ISNUMBER(E22)),E22,IF(AND(J22=2,ISNUMBER(G22)),G22,IF(AND(J22=3,ISNUMBER(I22)),I22,IF(AND(J22="Average",OR(ISNUMBER(F22),ISNUMBER(G22),ISNUMBER(I22))),AVERAGE(F22,G22,I22),""))))</f>
        <v>24.132203389830511</v>
      </c>
      <c r="M22" s="77">
        <f t="shared" ref="M22" si="43">IF(ISNUMBER(L22),K22*(1-0.05*L22),K22)</f>
        <v>24.132203389830511</v>
      </c>
    </row>
    <row r="23" spans="1:13" x14ac:dyDescent="0.25">
      <c r="A23" s="78" t="s">
        <v>198</v>
      </c>
      <c r="B23" s="88" t="s">
        <v>373</v>
      </c>
      <c r="C23" s="91">
        <v>120</v>
      </c>
      <c r="D23" s="74">
        <v>120</v>
      </c>
      <c r="E23" s="52">
        <f t="shared" ref="E23" si="44">IF(NOT(ISBLANK(D23)),(C23+D23)/2,"")</f>
        <v>120</v>
      </c>
      <c r="F23" s="94">
        <f t="shared" ref="F23" si="45">IF(ISNUMBER(E23),(E23-69.8)*(113/118),"")</f>
        <v>48.072881355932203</v>
      </c>
      <c r="G23" s="97"/>
      <c r="H23" s="99"/>
      <c r="I23" s="94" t="str">
        <f t="shared" ref="I23" si="46">IF(ISNUMBER(H23),(H23-69.8)*(113/118),"")</f>
        <v/>
      </c>
      <c r="J23" s="92" t="s">
        <v>17</v>
      </c>
      <c r="K23" s="77">
        <f t="shared" ref="K23" si="47">IF(AND(J23=1,ISNUMBER(E23)),E23,IF(AND(J23=2,ISNUMBER(G23)),G23,IF(AND(J23=3,ISNUMBER(I23)),I23,IF(AND(J23="Average",OR(ISNUMBER(F23),ISNUMBER(G23),ISNUMBER(I23))),AVERAGE(F23,G23,I23),""))))</f>
        <v>48.072881355932203</v>
      </c>
      <c r="M23" s="77">
        <f t="shared" ref="M23" si="48">IF(ISNUMBER(L23),K23*(1-0.05*L23),K23)</f>
        <v>48.072881355932203</v>
      </c>
    </row>
    <row r="24" spans="1:13" ht="15.75" customHeight="1" x14ac:dyDescent="0.25">
      <c r="A24" s="78" t="s">
        <v>192</v>
      </c>
      <c r="B24" s="88" t="s">
        <v>204</v>
      </c>
      <c r="C24" s="91"/>
      <c r="D24" s="74"/>
      <c r="E24" s="52" t="str">
        <f t="shared" si="0"/>
        <v/>
      </c>
      <c r="F24" s="94" t="str">
        <f t="shared" si="1"/>
        <v/>
      </c>
      <c r="G24" s="97">
        <v>10</v>
      </c>
      <c r="H24" s="99"/>
      <c r="I24" s="94" t="str">
        <f t="shared" si="2"/>
        <v/>
      </c>
      <c r="J24" s="92" t="s">
        <v>17</v>
      </c>
      <c r="K24" s="77">
        <f t="shared" si="3"/>
        <v>10</v>
      </c>
      <c r="M24" s="77">
        <f t="shared" si="4"/>
        <v>10</v>
      </c>
    </row>
    <row r="25" spans="1:13" x14ac:dyDescent="0.25">
      <c r="A25" s="73" t="s">
        <v>199</v>
      </c>
      <c r="B25" s="87" t="s">
        <v>204</v>
      </c>
      <c r="C25" s="91">
        <v>98</v>
      </c>
      <c r="D25" s="74">
        <v>102</v>
      </c>
      <c r="E25" s="52">
        <f t="shared" si="0"/>
        <v>100</v>
      </c>
      <c r="F25" s="94">
        <f t="shared" si="1"/>
        <v>28.920338983050851</v>
      </c>
      <c r="G25" s="97"/>
      <c r="H25" s="99">
        <v>103.19</v>
      </c>
      <c r="I25" s="94">
        <f t="shared" si="2"/>
        <v>31.975169491525424</v>
      </c>
      <c r="J25" s="92" t="s">
        <v>17</v>
      </c>
      <c r="K25" s="77">
        <f t="shared" si="3"/>
        <v>30.447754237288137</v>
      </c>
      <c r="M25" s="77">
        <f t="shared" si="4"/>
        <v>30.447754237288137</v>
      </c>
    </row>
    <row r="26" spans="1:13" x14ac:dyDescent="0.25">
      <c r="A26" s="73" t="s">
        <v>248</v>
      </c>
      <c r="B26" s="87" t="s">
        <v>285</v>
      </c>
      <c r="C26" s="91">
        <v>90</v>
      </c>
      <c r="D26" s="74">
        <v>90</v>
      </c>
      <c r="E26" s="52">
        <f t="shared" si="0"/>
        <v>90</v>
      </c>
      <c r="F26" s="94">
        <f t="shared" si="1"/>
        <v>19.344067796610172</v>
      </c>
      <c r="G26" s="97"/>
      <c r="H26" s="99"/>
      <c r="I26" s="94" t="str">
        <f t="shared" si="2"/>
        <v/>
      </c>
      <c r="J26" s="92" t="s">
        <v>17</v>
      </c>
      <c r="K26" s="77">
        <f t="shared" si="3"/>
        <v>19.344067796610172</v>
      </c>
      <c r="M26" s="77">
        <f t="shared" si="4"/>
        <v>19.344067796610172</v>
      </c>
    </row>
    <row r="27" spans="1:13" x14ac:dyDescent="0.25">
      <c r="A27" s="78" t="s">
        <v>193</v>
      </c>
      <c r="B27" s="88" t="s">
        <v>372</v>
      </c>
      <c r="C27" s="91">
        <v>95</v>
      </c>
      <c r="D27" s="74">
        <v>95</v>
      </c>
      <c r="E27" s="52">
        <f t="shared" ref="E27" si="49">IF(NOT(ISBLANK(D27)),(C27+D27)/2,"")</f>
        <v>95</v>
      </c>
      <c r="F27" s="94">
        <f t="shared" ref="F27" si="50">IF(ISNUMBER(E27),(E27-69.8)*(113/118),"")</f>
        <v>24.132203389830511</v>
      </c>
      <c r="G27" s="97"/>
      <c r="H27" s="99"/>
      <c r="I27" s="94" t="str">
        <f t="shared" ref="I27" si="51">IF(ISNUMBER(H27),(H27-69.8)*(113/118),"")</f>
        <v/>
      </c>
      <c r="J27" s="92" t="s">
        <v>17</v>
      </c>
      <c r="K27" s="77">
        <f t="shared" ref="K27" si="52">IF(AND(J27=1,ISNUMBER(E27)),E27,IF(AND(J27=2,ISNUMBER(G27)),G27,IF(AND(J27=3,ISNUMBER(I27)),I27,IF(AND(J27="Average",OR(ISNUMBER(F27),ISNUMBER(G27),ISNUMBER(I27))),AVERAGE(F27,G27,I27),""))))</f>
        <v>24.132203389830511</v>
      </c>
      <c r="M27" s="77">
        <f t="shared" ref="M27" si="53">IF(ISNUMBER(L27),K27*(1-0.05*L27),K27)</f>
        <v>24.132203389830511</v>
      </c>
    </row>
    <row r="28" spans="1:13" x14ac:dyDescent="0.25">
      <c r="A28" s="73" t="s">
        <v>247</v>
      </c>
      <c r="B28" s="87" t="s">
        <v>246</v>
      </c>
      <c r="C28" s="91">
        <v>90</v>
      </c>
      <c r="D28" s="74">
        <v>90</v>
      </c>
      <c r="E28" s="52">
        <f t="shared" si="0"/>
        <v>90</v>
      </c>
      <c r="F28" s="94">
        <f t="shared" si="1"/>
        <v>19.344067796610172</v>
      </c>
      <c r="G28" s="97"/>
      <c r="H28" s="99"/>
      <c r="I28" s="94" t="str">
        <f t="shared" si="2"/>
        <v/>
      </c>
      <c r="J28" s="92" t="s">
        <v>17</v>
      </c>
      <c r="K28" s="77">
        <f t="shared" si="3"/>
        <v>19.344067796610172</v>
      </c>
      <c r="M28" s="77">
        <f t="shared" si="4"/>
        <v>19.344067796610172</v>
      </c>
    </row>
    <row r="29" spans="1:13" x14ac:dyDescent="0.25">
      <c r="A29" s="73" t="s">
        <v>245</v>
      </c>
      <c r="B29" s="87" t="s">
        <v>246</v>
      </c>
      <c r="C29" s="91">
        <v>125</v>
      </c>
      <c r="D29" s="74">
        <v>125</v>
      </c>
      <c r="E29" s="52">
        <f t="shared" si="0"/>
        <v>125</v>
      </c>
      <c r="F29" s="94">
        <f t="shared" si="1"/>
        <v>52.861016949152543</v>
      </c>
      <c r="G29" s="97"/>
      <c r="H29" s="99"/>
      <c r="I29" s="94" t="str">
        <f t="shared" si="2"/>
        <v/>
      </c>
      <c r="J29" s="92" t="s">
        <v>17</v>
      </c>
      <c r="K29" s="77">
        <f t="shared" si="3"/>
        <v>52.861016949152543</v>
      </c>
      <c r="M29" s="77">
        <f t="shared" si="4"/>
        <v>52.861016949152543</v>
      </c>
    </row>
    <row r="30" spans="1:13" x14ac:dyDescent="0.25">
      <c r="A30" s="73" t="s">
        <v>213</v>
      </c>
      <c r="B30" s="87" t="s">
        <v>194</v>
      </c>
      <c r="C30" s="91"/>
      <c r="D30" s="74"/>
      <c r="E30" s="52" t="str">
        <f t="shared" si="0"/>
        <v/>
      </c>
      <c r="F30" s="94" t="str">
        <f t="shared" si="1"/>
        <v/>
      </c>
      <c r="G30" s="97"/>
      <c r="H30" s="99">
        <v>106.65</v>
      </c>
      <c r="I30" s="94">
        <f t="shared" si="2"/>
        <v>35.288559322033905</v>
      </c>
      <c r="J30" s="92" t="s">
        <v>17</v>
      </c>
      <c r="K30" s="77">
        <f t="shared" si="3"/>
        <v>35.288559322033905</v>
      </c>
      <c r="M30" s="77">
        <f t="shared" si="4"/>
        <v>35.288559322033905</v>
      </c>
    </row>
    <row r="31" spans="1:13" x14ac:dyDescent="0.25">
      <c r="A31" s="78" t="s">
        <v>324</v>
      </c>
      <c r="B31" s="88" t="s">
        <v>194</v>
      </c>
      <c r="C31" s="91"/>
      <c r="D31" s="74"/>
      <c r="E31" s="52" t="str">
        <f t="shared" si="0"/>
        <v/>
      </c>
      <c r="F31" s="94" t="str">
        <f t="shared" si="1"/>
        <v/>
      </c>
      <c r="G31" s="97">
        <v>17</v>
      </c>
      <c r="H31" s="99">
        <v>92.17</v>
      </c>
      <c r="I31" s="94">
        <f t="shared" si="2"/>
        <v>21.422118644067801</v>
      </c>
      <c r="J31" s="92" t="s">
        <v>17</v>
      </c>
      <c r="K31" s="77">
        <f t="shared" si="3"/>
        <v>19.211059322033901</v>
      </c>
      <c r="M31" s="77">
        <f t="shared" si="4"/>
        <v>19.211059322033901</v>
      </c>
    </row>
    <row r="32" spans="1:13" x14ac:dyDescent="0.25">
      <c r="A32" s="78" t="s">
        <v>320</v>
      </c>
      <c r="B32" s="88" t="s">
        <v>194</v>
      </c>
      <c r="C32" s="91"/>
      <c r="D32" s="74"/>
      <c r="E32" s="52" t="str">
        <f t="shared" ref="E32" si="54">IF(NOT(ISBLANK(D32)),(C32+D32)/2,"")</f>
        <v/>
      </c>
      <c r="F32" s="94" t="str">
        <f t="shared" ref="F32" si="55">IF(ISNUMBER(E32),(E32-69.8)*(113/118),"")</f>
        <v/>
      </c>
      <c r="G32" s="97">
        <v>20</v>
      </c>
      <c r="H32" s="99">
        <v>92.58</v>
      </c>
      <c r="I32" s="94">
        <f t="shared" ref="I32" si="56">IF(ISNUMBER(H32),(H32-69.8)*(113/118),"")</f>
        <v>21.814745762711865</v>
      </c>
      <c r="J32" s="92" t="s">
        <v>17</v>
      </c>
      <c r="K32" s="77">
        <f t="shared" ref="K32" si="57">IF(AND(J32=1,ISNUMBER(E32)),E32,IF(AND(J32=2,ISNUMBER(G32)),G32,IF(AND(J32=3,ISNUMBER(I32)),I32,IF(AND(J32="Average",OR(ISNUMBER(F32),ISNUMBER(G32),ISNUMBER(I32))),AVERAGE(F32,G32,I32),""))))</f>
        <v>20.907372881355933</v>
      </c>
      <c r="M32" s="77">
        <f t="shared" si="4"/>
        <v>20.907372881355933</v>
      </c>
    </row>
    <row r="33" spans="1:13" x14ac:dyDescent="0.25">
      <c r="A33" s="78" t="s">
        <v>325</v>
      </c>
      <c r="B33" s="88" t="s">
        <v>194</v>
      </c>
      <c r="C33" s="91"/>
      <c r="D33" s="74"/>
      <c r="E33" s="52" t="str">
        <f t="shared" ref="E33" si="58">IF(NOT(ISBLANK(D33)),(C33+D33)/2,"")</f>
        <v/>
      </c>
      <c r="F33" s="94" t="str">
        <f t="shared" ref="F33" si="59">IF(ISNUMBER(E33),(E33-69.8)*(113/118),"")</f>
        <v/>
      </c>
      <c r="G33" s="97">
        <v>12.8</v>
      </c>
      <c r="H33" s="99"/>
      <c r="I33" s="94" t="str">
        <f t="shared" ref="I33" si="60">IF(ISNUMBER(H33),(H33-69.8)*(113/118),"")</f>
        <v/>
      </c>
      <c r="J33" s="92" t="s">
        <v>17</v>
      </c>
      <c r="K33" s="77">
        <f t="shared" ref="K33" si="61">IF(AND(J33=1,ISNUMBER(E33)),E33,IF(AND(J33=2,ISNUMBER(G33)),G33,IF(AND(J33=3,ISNUMBER(I33)),I33,IF(AND(J33="Average",OR(ISNUMBER(F33),ISNUMBER(G33),ISNUMBER(I33))),AVERAGE(F33,G33,I33),""))))</f>
        <v>12.8</v>
      </c>
      <c r="M33" s="77">
        <f t="shared" si="4"/>
        <v>12.8</v>
      </c>
    </row>
    <row r="34" spans="1:13" x14ac:dyDescent="0.25">
      <c r="A34" s="73" t="s">
        <v>236</v>
      </c>
      <c r="B34" s="87" t="s">
        <v>194</v>
      </c>
      <c r="C34" s="91">
        <v>93</v>
      </c>
      <c r="D34" s="74">
        <v>97</v>
      </c>
      <c r="E34" s="52">
        <f t="shared" si="0"/>
        <v>95</v>
      </c>
      <c r="F34" s="94">
        <f t="shared" si="1"/>
        <v>24.132203389830511</v>
      </c>
      <c r="G34" s="97"/>
      <c r="H34" s="99">
        <v>91.424933498901495</v>
      </c>
      <c r="I34" s="94">
        <f t="shared" si="2"/>
        <v>20.708622757422621</v>
      </c>
      <c r="J34" s="92" t="s">
        <v>17</v>
      </c>
      <c r="K34" s="77">
        <f t="shared" si="3"/>
        <v>22.420413073626566</v>
      </c>
      <c r="M34" s="77">
        <f t="shared" si="4"/>
        <v>22.420413073626566</v>
      </c>
    </row>
    <row r="35" spans="1:13" x14ac:dyDescent="0.25">
      <c r="A35" s="78" t="s">
        <v>417</v>
      </c>
      <c r="B35" s="88" t="s">
        <v>194</v>
      </c>
      <c r="C35" s="91"/>
      <c r="D35" s="74"/>
      <c r="E35" s="52" t="str">
        <f t="shared" si="0"/>
        <v/>
      </c>
      <c r="F35" s="94" t="str">
        <f t="shared" si="1"/>
        <v/>
      </c>
      <c r="G35" s="97">
        <v>25</v>
      </c>
      <c r="H35" s="99"/>
      <c r="I35" s="94" t="str">
        <f t="shared" si="2"/>
        <v/>
      </c>
      <c r="J35" s="92" t="s">
        <v>17</v>
      </c>
      <c r="K35" s="77">
        <f t="shared" si="3"/>
        <v>25</v>
      </c>
      <c r="M35" s="77">
        <f t="shared" ref="M35" si="62">IF(ISNUMBER(L35),K35*(1-0.05*L35),K35)</f>
        <v>25</v>
      </c>
    </row>
    <row r="36" spans="1:13" x14ac:dyDescent="0.25">
      <c r="A36" s="73" t="s">
        <v>201</v>
      </c>
      <c r="B36" s="87" t="s">
        <v>194</v>
      </c>
      <c r="C36" s="91">
        <v>95</v>
      </c>
      <c r="D36" s="74">
        <v>100</v>
      </c>
      <c r="E36" s="52">
        <f t="shared" si="0"/>
        <v>97.5</v>
      </c>
      <c r="F36" s="94">
        <f t="shared" si="1"/>
        <v>26.526271186440681</v>
      </c>
      <c r="G36" s="97"/>
      <c r="H36" s="99">
        <v>97.965389851485199</v>
      </c>
      <c r="I36" s="94">
        <f t="shared" si="2"/>
        <v>26.971941128964641</v>
      </c>
      <c r="J36" s="92" t="s">
        <v>17</v>
      </c>
      <c r="K36" s="77">
        <f t="shared" si="3"/>
        <v>26.749106157702663</v>
      </c>
      <c r="M36" s="77">
        <f t="shared" si="4"/>
        <v>26.749106157702663</v>
      </c>
    </row>
    <row r="37" spans="1:13" x14ac:dyDescent="0.25">
      <c r="A37" s="73" t="s">
        <v>200</v>
      </c>
      <c r="B37" s="87" t="s">
        <v>194</v>
      </c>
      <c r="C37" s="91">
        <v>100</v>
      </c>
      <c r="D37" s="74">
        <v>105</v>
      </c>
      <c r="E37" s="52">
        <f t="shared" si="0"/>
        <v>102.5</v>
      </c>
      <c r="F37" s="94">
        <f t="shared" si="1"/>
        <v>31.31440677966102</v>
      </c>
      <c r="G37" s="97"/>
      <c r="H37" s="99">
        <v>101.34286066504001</v>
      </c>
      <c r="I37" s="94">
        <f t="shared" si="2"/>
        <v>30.206298772453568</v>
      </c>
      <c r="J37" s="92" t="s">
        <v>17</v>
      </c>
      <c r="K37" s="77">
        <f t="shared" si="3"/>
        <v>30.760352776057296</v>
      </c>
      <c r="M37" s="77">
        <f t="shared" si="4"/>
        <v>30.760352776057296</v>
      </c>
    </row>
    <row r="38" spans="1:13" x14ac:dyDescent="0.25">
      <c r="A38" s="73" t="s">
        <v>193</v>
      </c>
      <c r="B38" s="87" t="s">
        <v>194</v>
      </c>
      <c r="C38" s="91"/>
      <c r="D38" s="74"/>
      <c r="E38" s="52" t="str">
        <f t="shared" si="0"/>
        <v/>
      </c>
      <c r="F38" s="94" t="str">
        <f t="shared" si="1"/>
        <v/>
      </c>
      <c r="G38" s="97">
        <v>9</v>
      </c>
      <c r="H38" s="99">
        <v>83.456997342781193</v>
      </c>
      <c r="I38" s="94">
        <f t="shared" si="2"/>
        <v>13.078311014697247</v>
      </c>
      <c r="J38" s="92" t="s">
        <v>17</v>
      </c>
      <c r="K38" s="77">
        <f t="shared" si="3"/>
        <v>11.039155507348624</v>
      </c>
      <c r="M38" s="77">
        <f t="shared" si="4"/>
        <v>11.039155507348624</v>
      </c>
    </row>
    <row r="39" spans="1:13" x14ac:dyDescent="0.25">
      <c r="A39" s="73" t="s">
        <v>199</v>
      </c>
      <c r="B39" s="87" t="s">
        <v>194</v>
      </c>
      <c r="C39" s="91"/>
      <c r="D39" s="74"/>
      <c r="E39" s="52" t="str">
        <f t="shared" ref="E39" si="63">IF(NOT(ISBLANK(D39)),(C39+D39)/2,"")</f>
        <v/>
      </c>
      <c r="F39" s="94" t="str">
        <f t="shared" ref="F39" si="64">IF(ISNUMBER(E39),(E39-69.8)*(113/118),"")</f>
        <v/>
      </c>
      <c r="G39" s="97">
        <v>9</v>
      </c>
      <c r="H39" s="99">
        <v>83.456997342781193</v>
      </c>
      <c r="I39" s="94">
        <f t="shared" ref="I39" si="65">IF(ISNUMBER(H39),(H39-69.8)*(113/118),"")</f>
        <v>13.078311014697247</v>
      </c>
      <c r="J39" s="92" t="s">
        <v>17</v>
      </c>
      <c r="K39" s="77">
        <f t="shared" ref="K39" si="66">IF(AND(J39=1,ISNUMBER(E39)),E39,IF(AND(J39=2,ISNUMBER(G39)),G39,IF(AND(J39=3,ISNUMBER(I39)),I39,IF(AND(J39="Average",OR(ISNUMBER(F39),ISNUMBER(G39),ISNUMBER(I39))),AVERAGE(F39,G39,I39),""))))</f>
        <v>11.039155507348624</v>
      </c>
      <c r="M39" s="77">
        <f t="shared" ref="M39" si="67">IF(ISNUMBER(L39),K39*(1-0.05*L39),K39)</f>
        <v>11.039155507348624</v>
      </c>
    </row>
    <row r="40" spans="1:13" x14ac:dyDescent="0.25">
      <c r="A40" s="78" t="s">
        <v>314</v>
      </c>
      <c r="B40" s="88" t="s">
        <v>194</v>
      </c>
      <c r="C40" s="91">
        <v>110</v>
      </c>
      <c r="D40" s="74">
        <v>110</v>
      </c>
      <c r="E40" s="52">
        <f t="shared" ref="E40" si="68">IF(NOT(ISBLANK(D40)),(C40+D40)/2,"")</f>
        <v>110</v>
      </c>
      <c r="F40" s="94">
        <f t="shared" ref="F40" si="69">IF(ISNUMBER(E40),(E40-69.8)*(113/118),"")</f>
        <v>38.496610169491525</v>
      </c>
      <c r="G40" s="97"/>
      <c r="H40" s="99"/>
      <c r="I40" s="94" t="str">
        <f t="shared" ref="I40" si="70">IF(ISNUMBER(H40),(H40-69.8)*(113/118),"")</f>
        <v/>
      </c>
      <c r="J40" s="92" t="s">
        <v>17</v>
      </c>
      <c r="K40" s="77">
        <f t="shared" ref="K40" si="71">IF(AND(J40=1,ISNUMBER(E40)),E40,IF(AND(J40=2,ISNUMBER(G40)),G40,IF(AND(J40=3,ISNUMBER(I40)),I40,IF(AND(J40="Average",OR(ISNUMBER(F40),ISNUMBER(G40),ISNUMBER(I40))),AVERAGE(F40,G40,I40),""))))</f>
        <v>38.496610169491525</v>
      </c>
      <c r="M40" s="77">
        <f t="shared" si="4"/>
        <v>38.496610169491525</v>
      </c>
    </row>
    <row r="41" spans="1:13" x14ac:dyDescent="0.25">
      <c r="A41" s="73" t="s">
        <v>199</v>
      </c>
      <c r="B41" s="87" t="s">
        <v>194</v>
      </c>
      <c r="C41" s="91">
        <v>100</v>
      </c>
      <c r="D41" s="74">
        <v>100</v>
      </c>
      <c r="E41" s="52">
        <f t="shared" si="0"/>
        <v>100</v>
      </c>
      <c r="F41" s="94">
        <f t="shared" si="1"/>
        <v>28.920338983050851</v>
      </c>
      <c r="G41" s="97"/>
      <c r="H41" s="99"/>
      <c r="I41" s="94" t="str">
        <f t="shared" si="2"/>
        <v/>
      </c>
      <c r="J41" s="92" t="s">
        <v>17</v>
      </c>
      <c r="K41" s="77">
        <f t="shared" si="3"/>
        <v>28.920338983050851</v>
      </c>
      <c r="M41" s="77">
        <f t="shared" si="4"/>
        <v>28.920338983050851</v>
      </c>
    </row>
    <row r="42" spans="1:13" x14ac:dyDescent="0.25">
      <c r="A42" s="78" t="s">
        <v>208</v>
      </c>
      <c r="B42" s="88" t="s">
        <v>194</v>
      </c>
      <c r="C42" s="91"/>
      <c r="D42" s="74"/>
      <c r="E42" s="52" t="str">
        <f t="shared" si="0"/>
        <v/>
      </c>
      <c r="F42" s="94" t="str">
        <f t="shared" si="1"/>
        <v/>
      </c>
      <c r="G42" s="97"/>
      <c r="H42" s="99">
        <v>115</v>
      </c>
      <c r="I42" s="94">
        <f t="shared" si="2"/>
        <v>43.284745762711864</v>
      </c>
      <c r="J42" s="92" t="s">
        <v>17</v>
      </c>
      <c r="K42" s="77">
        <f t="shared" si="3"/>
        <v>43.284745762711864</v>
      </c>
      <c r="M42" s="77">
        <f t="shared" si="4"/>
        <v>43.284745762711864</v>
      </c>
    </row>
    <row r="43" spans="1:13" x14ac:dyDescent="0.25">
      <c r="A43" s="73" t="s">
        <v>197</v>
      </c>
      <c r="B43" s="87" t="s">
        <v>194</v>
      </c>
      <c r="C43" s="91">
        <v>93</v>
      </c>
      <c r="D43" s="74">
        <v>97</v>
      </c>
      <c r="E43" s="52">
        <f t="shared" si="0"/>
        <v>95</v>
      </c>
      <c r="F43" s="94">
        <f t="shared" si="1"/>
        <v>24.132203389830511</v>
      </c>
      <c r="G43" s="97"/>
      <c r="H43" s="99">
        <v>95.878960648596603</v>
      </c>
      <c r="I43" s="94">
        <f t="shared" si="2"/>
        <v>24.973919943147596</v>
      </c>
      <c r="J43" s="92" t="s">
        <v>17</v>
      </c>
      <c r="K43" s="77">
        <f t="shared" si="3"/>
        <v>24.553061666489054</v>
      </c>
      <c r="M43" s="77">
        <f t="shared" si="4"/>
        <v>24.553061666489054</v>
      </c>
    </row>
    <row r="44" spans="1:13" x14ac:dyDescent="0.25">
      <c r="A44" s="73" t="s">
        <v>259</v>
      </c>
      <c r="B44" s="87" t="s">
        <v>194</v>
      </c>
      <c r="C44" s="91"/>
      <c r="D44" s="74"/>
      <c r="E44" s="52" t="str">
        <f t="shared" si="0"/>
        <v/>
      </c>
      <c r="F44" s="94" t="str">
        <f t="shared" si="1"/>
        <v/>
      </c>
      <c r="G44" s="97">
        <v>34</v>
      </c>
      <c r="H44" s="99"/>
      <c r="I44" s="94" t="str">
        <f t="shared" si="2"/>
        <v/>
      </c>
      <c r="J44" s="92" t="s">
        <v>17</v>
      </c>
      <c r="K44" s="77">
        <f t="shared" si="3"/>
        <v>34</v>
      </c>
      <c r="M44" s="77">
        <f t="shared" si="4"/>
        <v>34</v>
      </c>
    </row>
    <row r="45" spans="1:13" x14ac:dyDescent="0.25">
      <c r="A45" s="73" t="s">
        <v>198</v>
      </c>
      <c r="B45" s="87" t="s">
        <v>194</v>
      </c>
      <c r="C45" s="91">
        <v>95</v>
      </c>
      <c r="D45" s="74">
        <v>99</v>
      </c>
      <c r="E45" s="52">
        <f t="shared" si="0"/>
        <v>97</v>
      </c>
      <c r="F45" s="94">
        <f t="shared" si="1"/>
        <v>26.047457627118646</v>
      </c>
      <c r="G45" s="97"/>
      <c r="H45" s="99">
        <v>98.111738281249998</v>
      </c>
      <c r="I45" s="94">
        <f t="shared" si="2"/>
        <v>27.112088354078391</v>
      </c>
      <c r="J45" s="92" t="s">
        <v>17</v>
      </c>
      <c r="K45" s="77">
        <f t="shared" si="3"/>
        <v>26.579772990598521</v>
      </c>
      <c r="M45" s="77">
        <f t="shared" si="4"/>
        <v>26.579772990598521</v>
      </c>
    </row>
    <row r="46" spans="1:13" x14ac:dyDescent="0.25">
      <c r="A46" s="73" t="s">
        <v>195</v>
      </c>
      <c r="B46" s="87" t="s">
        <v>194</v>
      </c>
      <c r="C46" s="91"/>
      <c r="D46" s="74"/>
      <c r="E46" s="52" t="str">
        <f t="shared" si="0"/>
        <v/>
      </c>
      <c r="F46" s="94" t="str">
        <f t="shared" si="1"/>
        <v/>
      </c>
      <c r="G46" s="97">
        <v>17</v>
      </c>
      <c r="H46" s="99">
        <v>90.221014171833502</v>
      </c>
      <c r="I46" s="94">
        <f t="shared" si="2"/>
        <v>19.555716961162595</v>
      </c>
      <c r="J46" s="92" t="s">
        <v>17</v>
      </c>
      <c r="K46" s="77">
        <f t="shared" si="3"/>
        <v>18.277858480581298</v>
      </c>
      <c r="M46" s="77">
        <f t="shared" si="4"/>
        <v>18.277858480581298</v>
      </c>
    </row>
    <row r="47" spans="1:13" x14ac:dyDescent="0.25">
      <c r="A47" s="73" t="s">
        <v>413</v>
      </c>
      <c r="B47" s="87" t="s">
        <v>414</v>
      </c>
      <c r="C47" s="91">
        <v>100</v>
      </c>
      <c r="D47" s="74">
        <v>100</v>
      </c>
      <c r="E47" s="52">
        <f t="shared" ref="E47" si="72">IF(NOT(ISBLANK(D47)),(C47+D47)/2,"")</f>
        <v>100</v>
      </c>
      <c r="F47" s="94">
        <f t="shared" ref="F47" si="73">IF(ISNUMBER(E47),(E47-69.8)*(113/118),"")</f>
        <v>28.920338983050851</v>
      </c>
      <c r="G47" s="97"/>
      <c r="H47" s="99"/>
      <c r="I47" s="94" t="str">
        <f t="shared" ref="I47" si="74">IF(ISNUMBER(H47),(H47-69.8)*(113/118),"")</f>
        <v/>
      </c>
      <c r="J47" s="92" t="s">
        <v>17</v>
      </c>
      <c r="K47" s="77">
        <f t="shared" ref="K47" si="75">IF(AND(J47=1,ISNUMBER(E47)),E47,IF(AND(J47=2,ISNUMBER(G47)),G47,IF(AND(J47=3,ISNUMBER(I47)),I47,IF(AND(J47="Average",OR(ISNUMBER(F47),ISNUMBER(G47),ISNUMBER(I47))),AVERAGE(F47,G47,I47),""))))</f>
        <v>28.920338983050851</v>
      </c>
      <c r="M47" s="77">
        <f t="shared" ref="M47" si="76">IF(ISNUMBER(L47),K47*(1-0.05*L47),K47)</f>
        <v>28.920338983050851</v>
      </c>
    </row>
    <row r="48" spans="1:13" x14ac:dyDescent="0.25">
      <c r="A48" s="73" t="s">
        <v>411</v>
      </c>
      <c r="B48" s="87" t="s">
        <v>410</v>
      </c>
      <c r="C48" s="91">
        <v>110</v>
      </c>
      <c r="D48" s="74">
        <v>110</v>
      </c>
      <c r="E48" s="52">
        <f t="shared" si="0"/>
        <v>110</v>
      </c>
      <c r="F48" s="94">
        <f t="shared" si="1"/>
        <v>38.496610169491525</v>
      </c>
      <c r="G48" s="97"/>
      <c r="H48" s="99"/>
      <c r="I48" s="94" t="str">
        <f t="shared" si="2"/>
        <v/>
      </c>
      <c r="J48" s="92" t="s">
        <v>17</v>
      </c>
      <c r="K48" s="77">
        <f t="shared" si="3"/>
        <v>38.496610169491525</v>
      </c>
      <c r="M48" s="77">
        <f t="shared" si="4"/>
        <v>38.496610169491525</v>
      </c>
    </row>
    <row r="49" spans="1:13" x14ac:dyDescent="0.25">
      <c r="A49" s="73" t="s">
        <v>325</v>
      </c>
      <c r="B49" s="87" t="s">
        <v>410</v>
      </c>
      <c r="C49" s="91">
        <v>80</v>
      </c>
      <c r="D49" s="74">
        <v>80</v>
      </c>
      <c r="E49" s="52">
        <f t="shared" ref="E49" si="77">IF(NOT(ISBLANK(D49)),(C49+D49)/2,"")</f>
        <v>80</v>
      </c>
      <c r="F49" s="94">
        <f t="shared" ref="F49" si="78">IF(ISNUMBER(E49),(E49-69.8)*(113/118),"")</f>
        <v>9.7677966101694942</v>
      </c>
      <c r="G49" s="97"/>
      <c r="H49" s="99"/>
      <c r="I49" s="94" t="str">
        <f t="shared" ref="I49" si="79">IF(ISNUMBER(H49),(H49-69.8)*(113/118),"")</f>
        <v/>
      </c>
      <c r="J49" s="92" t="s">
        <v>17</v>
      </c>
      <c r="K49" s="77">
        <f t="shared" ref="K49" si="80">IF(AND(J49=1,ISNUMBER(E49)),E49,IF(AND(J49=2,ISNUMBER(G49)),G49,IF(AND(J49=3,ISNUMBER(I49)),I49,IF(AND(J49="Average",OR(ISNUMBER(F49),ISNUMBER(G49),ISNUMBER(I49))),AVERAGE(F49,G49,I49),""))))</f>
        <v>9.7677966101694942</v>
      </c>
      <c r="M49" s="77">
        <f t="shared" ref="M49" si="81">IF(ISNUMBER(L49),K49*(1-0.05*L49),K49)</f>
        <v>9.7677966101694942</v>
      </c>
    </row>
    <row r="50" spans="1:13" x14ac:dyDescent="0.25">
      <c r="A50" s="73" t="s">
        <v>412</v>
      </c>
      <c r="B50" s="87" t="s">
        <v>410</v>
      </c>
      <c r="C50" s="91">
        <v>90</v>
      </c>
      <c r="D50" s="74">
        <v>90</v>
      </c>
      <c r="E50" s="52">
        <f t="shared" ref="E50" si="82">IF(NOT(ISBLANK(D50)),(C50+D50)/2,"")</f>
        <v>90</v>
      </c>
      <c r="F50" s="94">
        <f t="shared" ref="F50" si="83">IF(ISNUMBER(E50),(E50-69.8)*(113/118),"")</f>
        <v>19.344067796610172</v>
      </c>
      <c r="G50" s="97"/>
      <c r="H50" s="99"/>
      <c r="I50" s="94" t="str">
        <f t="shared" ref="I50" si="84">IF(ISNUMBER(H50),(H50-69.8)*(113/118),"")</f>
        <v/>
      </c>
      <c r="J50" s="92" t="s">
        <v>17</v>
      </c>
      <c r="K50" s="77">
        <f t="shared" ref="K50" si="85">IF(AND(J50=1,ISNUMBER(E50)),E50,IF(AND(J50=2,ISNUMBER(G50)),G50,IF(AND(J50=3,ISNUMBER(I50)),I50,IF(AND(J50="Average",OR(ISNUMBER(F50),ISNUMBER(G50),ISNUMBER(I50))),AVERAGE(F50,G50,I50),""))))</f>
        <v>19.344067796610172</v>
      </c>
      <c r="M50" s="77">
        <f t="shared" ref="M50" si="86">IF(ISNUMBER(L50),K50*(1-0.05*L50),K50)</f>
        <v>19.344067796610172</v>
      </c>
    </row>
    <row r="51" spans="1:13" x14ac:dyDescent="0.25">
      <c r="A51" s="73" t="s">
        <v>378</v>
      </c>
      <c r="B51" s="87" t="s">
        <v>176</v>
      </c>
      <c r="C51" s="91"/>
      <c r="D51" s="74"/>
      <c r="E51" s="52" t="str">
        <f t="shared" si="0"/>
        <v/>
      </c>
      <c r="F51" s="94" t="str">
        <f t="shared" si="1"/>
        <v/>
      </c>
      <c r="G51" s="97">
        <v>12</v>
      </c>
      <c r="H51" s="99"/>
      <c r="I51" s="94" t="str">
        <f t="shared" si="2"/>
        <v/>
      </c>
      <c r="J51" s="92" t="s">
        <v>17</v>
      </c>
      <c r="K51" s="77">
        <f t="shared" si="3"/>
        <v>12</v>
      </c>
      <c r="M51" s="77">
        <f t="shared" si="4"/>
        <v>12</v>
      </c>
    </row>
    <row r="52" spans="1:13" x14ac:dyDescent="0.25">
      <c r="A52" s="73" t="s">
        <v>177</v>
      </c>
      <c r="B52" s="87" t="s">
        <v>176</v>
      </c>
      <c r="C52" s="91"/>
      <c r="D52" s="74"/>
      <c r="E52" s="52" t="str">
        <f t="shared" si="0"/>
        <v/>
      </c>
      <c r="F52" s="94" t="str">
        <f t="shared" si="1"/>
        <v/>
      </c>
      <c r="G52" s="97"/>
      <c r="H52" s="99">
        <v>103.363667763615</v>
      </c>
      <c r="I52" s="94">
        <f t="shared" si="2"/>
        <v>32.141478451597415</v>
      </c>
      <c r="J52" s="92" t="s">
        <v>17</v>
      </c>
      <c r="K52" s="77">
        <f t="shared" si="3"/>
        <v>32.141478451597415</v>
      </c>
      <c r="M52" s="77">
        <f t="shared" si="4"/>
        <v>32.141478451597415</v>
      </c>
    </row>
    <row r="53" spans="1:13" x14ac:dyDescent="0.25">
      <c r="A53" s="73" t="s">
        <v>175</v>
      </c>
      <c r="B53" s="87" t="s">
        <v>176</v>
      </c>
      <c r="C53" s="91"/>
      <c r="D53" s="74"/>
      <c r="E53" s="52" t="str">
        <f t="shared" si="0"/>
        <v/>
      </c>
      <c r="F53" s="94" t="str">
        <f t="shared" si="1"/>
        <v/>
      </c>
      <c r="G53" s="97"/>
      <c r="H53" s="99">
        <v>95.161807238382494</v>
      </c>
      <c r="I53" s="94">
        <f t="shared" si="2"/>
        <v>24.287154389298493</v>
      </c>
      <c r="J53" s="92" t="s">
        <v>17</v>
      </c>
      <c r="K53" s="77">
        <f t="shared" si="3"/>
        <v>24.287154389298493</v>
      </c>
      <c r="M53" s="77">
        <f t="shared" si="4"/>
        <v>24.287154389298493</v>
      </c>
    </row>
    <row r="54" spans="1:13" x14ac:dyDescent="0.25">
      <c r="A54" s="73" t="s">
        <v>208</v>
      </c>
      <c r="B54" s="87" t="s">
        <v>176</v>
      </c>
      <c r="C54" s="91">
        <v>90</v>
      </c>
      <c r="D54" s="74">
        <v>90</v>
      </c>
      <c r="E54" s="52">
        <f t="shared" ref="E54" si="87">IF(NOT(ISBLANK(D54)),(C54+D54)/2,"")</f>
        <v>90</v>
      </c>
      <c r="F54" s="94">
        <f t="shared" ref="F54" si="88">IF(ISNUMBER(E54),(E54-69.8)*(113/118),"")</f>
        <v>19.344067796610172</v>
      </c>
      <c r="G54" s="97"/>
      <c r="H54" s="99"/>
      <c r="I54" s="94" t="str">
        <f t="shared" ref="I54" si="89">IF(ISNUMBER(H54),(H54-69.8)*(113/118),"")</f>
        <v/>
      </c>
      <c r="J54" s="92" t="s">
        <v>17</v>
      </c>
      <c r="K54" s="77">
        <f t="shared" ref="K54" si="90">IF(AND(J54=1,ISNUMBER(E54)),E54,IF(AND(J54=2,ISNUMBER(G54)),G54,IF(AND(J54=3,ISNUMBER(I54)),I54,IF(AND(J54="Average",OR(ISNUMBER(F54),ISNUMBER(G54),ISNUMBER(I54))),AVERAGE(F54,G54,I54),""))))</f>
        <v>19.344067796610172</v>
      </c>
      <c r="M54" s="77">
        <f t="shared" ref="M54" si="91">IF(ISNUMBER(L54),K54*(1-0.05*L54),K54)</f>
        <v>19.344067796610172</v>
      </c>
    </row>
    <row r="55" spans="1:13" x14ac:dyDescent="0.25">
      <c r="A55" s="73" t="s">
        <v>178</v>
      </c>
      <c r="B55" s="87" t="s">
        <v>176</v>
      </c>
      <c r="C55" s="91">
        <v>125</v>
      </c>
      <c r="D55" s="74">
        <v>125</v>
      </c>
      <c r="E55" s="52">
        <f t="shared" si="0"/>
        <v>125</v>
      </c>
      <c r="F55" s="94">
        <f t="shared" si="1"/>
        <v>52.861016949152543</v>
      </c>
      <c r="G55" s="97"/>
      <c r="H55" s="99"/>
      <c r="I55" s="94" t="str">
        <f t="shared" si="2"/>
        <v/>
      </c>
      <c r="J55" s="92" t="s">
        <v>17</v>
      </c>
      <c r="K55" s="77">
        <f t="shared" si="3"/>
        <v>52.861016949152543</v>
      </c>
      <c r="M55" s="77">
        <f t="shared" si="4"/>
        <v>52.861016949152543</v>
      </c>
    </row>
    <row r="56" spans="1:13" x14ac:dyDescent="0.25">
      <c r="A56" s="73" t="s">
        <v>415</v>
      </c>
      <c r="B56" s="87" t="s">
        <v>416</v>
      </c>
      <c r="C56" s="91">
        <v>80</v>
      </c>
      <c r="D56" s="74">
        <v>80</v>
      </c>
      <c r="E56" s="52">
        <f t="shared" si="0"/>
        <v>80</v>
      </c>
      <c r="F56" s="94">
        <f t="shared" si="1"/>
        <v>9.7677966101694942</v>
      </c>
      <c r="G56" s="97"/>
      <c r="H56" s="99"/>
      <c r="I56" s="94" t="str">
        <f t="shared" si="2"/>
        <v/>
      </c>
      <c r="J56" s="92" t="s">
        <v>17</v>
      </c>
      <c r="K56" s="77">
        <f t="shared" si="3"/>
        <v>9.7677966101694942</v>
      </c>
      <c r="M56" s="77">
        <f t="shared" si="4"/>
        <v>9.7677966101694942</v>
      </c>
    </row>
    <row r="57" spans="1:13" x14ac:dyDescent="0.25">
      <c r="A57" s="78" t="s">
        <v>321</v>
      </c>
      <c r="B57" s="88" t="s">
        <v>188</v>
      </c>
      <c r="C57" s="91">
        <v>115</v>
      </c>
      <c r="D57" s="74">
        <v>115</v>
      </c>
      <c r="E57" s="52">
        <f t="shared" si="0"/>
        <v>115</v>
      </c>
      <c r="F57" s="94">
        <f t="shared" si="1"/>
        <v>43.284745762711864</v>
      </c>
      <c r="G57" s="97"/>
      <c r="H57" s="99"/>
      <c r="I57" s="94" t="str">
        <f t="shared" si="2"/>
        <v/>
      </c>
      <c r="J57" s="92" t="s">
        <v>17</v>
      </c>
      <c r="K57" s="77">
        <f t="shared" si="3"/>
        <v>43.284745762711864</v>
      </c>
      <c r="M57" s="77">
        <f t="shared" si="4"/>
        <v>43.284745762711864</v>
      </c>
    </row>
    <row r="58" spans="1:13" x14ac:dyDescent="0.25">
      <c r="A58" s="73" t="s">
        <v>184</v>
      </c>
      <c r="B58" s="87" t="s">
        <v>188</v>
      </c>
      <c r="C58" s="91"/>
      <c r="D58" s="74"/>
      <c r="E58" s="52" t="str">
        <f t="shared" si="0"/>
        <v/>
      </c>
      <c r="F58" s="94" t="str">
        <f t="shared" si="1"/>
        <v/>
      </c>
      <c r="G58" s="97"/>
      <c r="H58" s="99">
        <v>93.2069166666667</v>
      </c>
      <c r="I58" s="94">
        <f t="shared" si="2"/>
        <v>22.415098163841844</v>
      </c>
      <c r="J58" s="92" t="s">
        <v>17</v>
      </c>
      <c r="K58" s="77">
        <f t="shared" si="3"/>
        <v>22.415098163841844</v>
      </c>
      <c r="M58" s="77">
        <f t="shared" si="4"/>
        <v>22.415098163841844</v>
      </c>
    </row>
    <row r="59" spans="1:13" x14ac:dyDescent="0.25">
      <c r="A59" s="73" t="s">
        <v>352</v>
      </c>
      <c r="B59" s="87" t="s">
        <v>188</v>
      </c>
      <c r="C59" s="91">
        <v>95</v>
      </c>
      <c r="D59" s="74">
        <v>100</v>
      </c>
      <c r="E59" s="52">
        <f t="shared" ref="E59" si="92">IF(NOT(ISBLANK(D59)),(C59+D59)/2,"")</f>
        <v>97.5</v>
      </c>
      <c r="F59" s="94">
        <f t="shared" ref="F59" si="93">IF(ISNUMBER(E59),(E59-69.8)*(113/118),"")</f>
        <v>26.526271186440681</v>
      </c>
      <c r="G59" s="97"/>
      <c r="H59" s="99"/>
      <c r="I59" s="94" t="str">
        <f t="shared" ref="I59" si="94">IF(ISNUMBER(H59),(H59-69.8)*(113/118),"")</f>
        <v/>
      </c>
      <c r="J59" s="92" t="s">
        <v>17</v>
      </c>
      <c r="K59" s="77">
        <f t="shared" ref="K59" si="95">IF(AND(J59=1,ISNUMBER(E59)),E59,IF(AND(J59=2,ISNUMBER(G59)),G59,IF(AND(J59=3,ISNUMBER(I59)),I59,IF(AND(J59="Average",OR(ISNUMBER(F59),ISNUMBER(G59),ISNUMBER(I59))),AVERAGE(F59,G59,I59),""))))</f>
        <v>26.526271186440681</v>
      </c>
      <c r="M59" s="77">
        <f t="shared" ref="M59" si="96">IF(ISNUMBER(L59),K59*(1-0.05*L59),K59)</f>
        <v>26.526271186440681</v>
      </c>
    </row>
    <row r="60" spans="1:13" x14ac:dyDescent="0.25">
      <c r="A60" s="73" t="s">
        <v>187</v>
      </c>
      <c r="B60" s="87" t="s">
        <v>188</v>
      </c>
      <c r="C60" s="91">
        <v>92</v>
      </c>
      <c r="D60" s="74">
        <v>98</v>
      </c>
      <c r="E60" s="52">
        <f t="shared" si="0"/>
        <v>95</v>
      </c>
      <c r="F60" s="94">
        <f t="shared" si="1"/>
        <v>24.132203389830511</v>
      </c>
      <c r="G60" s="97"/>
      <c r="H60" s="99">
        <v>92.907243651940504</v>
      </c>
      <c r="I60" s="94">
        <f t="shared" si="2"/>
        <v>22.128123158214215</v>
      </c>
      <c r="J60" s="92" t="s">
        <v>17</v>
      </c>
      <c r="K60" s="77">
        <f t="shared" si="3"/>
        <v>23.130163274022365</v>
      </c>
      <c r="M60" s="77">
        <f t="shared" si="4"/>
        <v>23.130163274022365</v>
      </c>
    </row>
    <row r="61" spans="1:13" x14ac:dyDescent="0.25">
      <c r="A61" s="78" t="s">
        <v>217</v>
      </c>
      <c r="B61" s="88" t="s">
        <v>209</v>
      </c>
      <c r="C61" s="91">
        <v>78</v>
      </c>
      <c r="D61" s="74">
        <v>78</v>
      </c>
      <c r="E61" s="52">
        <f t="shared" ref="E61" si="97">IF(NOT(ISBLANK(D61)),(C61+D61)/2,"")</f>
        <v>78</v>
      </c>
      <c r="F61" s="94">
        <f t="shared" ref="F61" si="98">IF(ISNUMBER(E61),(E61-69.8)*(113/118),"")</f>
        <v>7.8525423728813584</v>
      </c>
      <c r="G61" s="97"/>
      <c r="H61" s="99"/>
      <c r="I61" s="94" t="str">
        <f t="shared" ref="I61" si="99">IF(ISNUMBER(H61),(H61-69.8)*(113/118),"")</f>
        <v/>
      </c>
      <c r="J61" s="92" t="s">
        <v>17</v>
      </c>
      <c r="K61" s="77">
        <f t="shared" ref="K61" si="100">IF(AND(J61=1,ISNUMBER(E61)),E61,IF(AND(J61=2,ISNUMBER(G61)),G61,IF(AND(J61=3,ISNUMBER(I61)),I61,IF(AND(J61="Average",OR(ISNUMBER(F61),ISNUMBER(G61),ISNUMBER(I61))),AVERAGE(F61,G61,I61),""))))</f>
        <v>7.8525423728813584</v>
      </c>
      <c r="M61" s="77">
        <f t="shared" ref="M61" si="101">IF(ISNUMBER(L61),K61*(1-0.05*L61),K61)</f>
        <v>7.8525423728813584</v>
      </c>
    </row>
    <row r="62" spans="1:13" x14ac:dyDescent="0.25">
      <c r="A62" s="73" t="s">
        <v>177</v>
      </c>
      <c r="B62" s="87" t="s">
        <v>374</v>
      </c>
      <c r="C62" s="91">
        <v>105</v>
      </c>
      <c r="D62" s="74">
        <v>105</v>
      </c>
      <c r="E62" s="52">
        <f t="shared" si="0"/>
        <v>105</v>
      </c>
      <c r="F62" s="94">
        <f t="shared" si="1"/>
        <v>33.708474576271186</v>
      </c>
      <c r="G62" s="97"/>
      <c r="H62" s="99"/>
      <c r="I62" s="94" t="str">
        <f t="shared" si="2"/>
        <v/>
      </c>
      <c r="J62" s="92" t="s">
        <v>17</v>
      </c>
      <c r="K62" s="77">
        <f t="shared" si="3"/>
        <v>33.708474576271186</v>
      </c>
      <c r="M62" s="77">
        <f t="shared" si="4"/>
        <v>33.708474576271186</v>
      </c>
    </row>
    <row r="63" spans="1:13" x14ac:dyDescent="0.25">
      <c r="A63" s="73" t="s">
        <v>368</v>
      </c>
      <c r="B63" s="87" t="s">
        <v>369</v>
      </c>
      <c r="C63" s="91">
        <v>120</v>
      </c>
      <c r="D63" s="74">
        <v>120</v>
      </c>
      <c r="E63" s="52">
        <f t="shared" ref="E63" si="102">IF(NOT(ISBLANK(D63)),(C63+D63)/2,"")</f>
        <v>120</v>
      </c>
      <c r="F63" s="94">
        <f t="shared" ref="F63" si="103">IF(ISNUMBER(E63),(E63-69.8)*(113/118),"")</f>
        <v>48.072881355932203</v>
      </c>
      <c r="G63" s="97"/>
      <c r="H63" s="99"/>
      <c r="I63" s="94" t="str">
        <f t="shared" ref="I63" si="104">IF(ISNUMBER(H63),(H63-69.8)*(113/118),"")</f>
        <v/>
      </c>
      <c r="J63" s="92" t="s">
        <v>17</v>
      </c>
      <c r="K63" s="77">
        <f t="shared" ref="K63" si="105">IF(AND(J63=1,ISNUMBER(E63)),E63,IF(AND(J63=2,ISNUMBER(G63)),G63,IF(AND(J63=3,ISNUMBER(I63)),I63,IF(AND(J63="Average",OR(ISNUMBER(F63),ISNUMBER(G63),ISNUMBER(I63))),AVERAGE(F63,G63,I63),""))))</f>
        <v>48.072881355932203</v>
      </c>
      <c r="M63" s="77">
        <f t="shared" ref="M63" si="106">IF(ISNUMBER(L63),K63*(1-0.05*L63),K63)</f>
        <v>48.072881355932203</v>
      </c>
    </row>
    <row r="64" spans="1:13" x14ac:dyDescent="0.25">
      <c r="A64" s="73" t="s">
        <v>208</v>
      </c>
      <c r="B64" s="87" t="s">
        <v>209</v>
      </c>
      <c r="C64" s="91">
        <v>93</v>
      </c>
      <c r="D64" s="74">
        <v>97</v>
      </c>
      <c r="E64" s="52">
        <f t="shared" si="0"/>
        <v>95</v>
      </c>
      <c r="F64" s="94">
        <f t="shared" si="1"/>
        <v>24.132203389830511</v>
      </c>
      <c r="G64" s="97"/>
      <c r="H64" s="99"/>
      <c r="I64" s="94" t="str">
        <f t="shared" si="2"/>
        <v/>
      </c>
      <c r="J64" s="92" t="s">
        <v>17</v>
      </c>
      <c r="K64" s="77">
        <f t="shared" si="3"/>
        <v>24.132203389830511</v>
      </c>
      <c r="M64" s="77">
        <f t="shared" si="4"/>
        <v>24.132203389830511</v>
      </c>
    </row>
    <row r="65" spans="1:13" x14ac:dyDescent="0.25">
      <c r="A65" s="73" t="s">
        <v>282</v>
      </c>
      <c r="B65" s="87" t="s">
        <v>209</v>
      </c>
      <c r="C65" s="91"/>
      <c r="D65" s="74"/>
      <c r="E65" s="52" t="str">
        <f t="shared" si="0"/>
        <v/>
      </c>
      <c r="F65" s="94" t="str">
        <f t="shared" si="1"/>
        <v/>
      </c>
      <c r="G65" s="97"/>
      <c r="H65" s="99">
        <v>97.467516666666697</v>
      </c>
      <c r="I65" s="94">
        <f t="shared" si="2"/>
        <v>26.495164265536754</v>
      </c>
      <c r="J65" s="92" t="s">
        <v>17</v>
      </c>
      <c r="K65" s="77">
        <f t="shared" ref="K65" si="107">IF(AND(J65=1,ISNUMBER(E65)),E65,IF(AND(J65=2,ISNUMBER(G65)),G65,IF(AND(J65=3,ISNUMBER(I65)),I65,IF(AND(J65="Average",OR(ISNUMBER(F65),ISNUMBER(G65),ISNUMBER(I65))),AVERAGE(F65,G65,I65),""))))</f>
        <v>26.495164265536754</v>
      </c>
      <c r="M65" s="77">
        <f t="shared" si="4"/>
        <v>26.495164265536754</v>
      </c>
    </row>
    <row r="66" spans="1:13" x14ac:dyDescent="0.25">
      <c r="A66" s="73" t="s">
        <v>210</v>
      </c>
      <c r="B66" s="87" t="s">
        <v>209</v>
      </c>
      <c r="C66" s="91"/>
      <c r="D66" s="74"/>
      <c r="E66" s="52" t="str">
        <f t="shared" si="0"/>
        <v/>
      </c>
      <c r="F66" s="94" t="str">
        <f t="shared" si="1"/>
        <v/>
      </c>
      <c r="G66" s="97"/>
      <c r="H66" s="99">
        <v>97.467516666666697</v>
      </c>
      <c r="I66" s="94">
        <f t="shared" si="2"/>
        <v>26.495164265536754</v>
      </c>
      <c r="J66" s="92" t="s">
        <v>17</v>
      </c>
      <c r="K66" s="77">
        <f t="shared" si="3"/>
        <v>26.495164265536754</v>
      </c>
      <c r="M66" s="77">
        <f t="shared" si="4"/>
        <v>26.495164265536754</v>
      </c>
    </row>
    <row r="67" spans="1:13" x14ac:dyDescent="0.25">
      <c r="A67" s="73" t="s">
        <v>212</v>
      </c>
      <c r="B67" s="87" t="s">
        <v>209</v>
      </c>
      <c r="C67" s="91">
        <v>110</v>
      </c>
      <c r="D67" s="74">
        <v>110</v>
      </c>
      <c r="E67" s="52">
        <f t="shared" si="0"/>
        <v>110</v>
      </c>
      <c r="F67" s="94">
        <f t="shared" si="1"/>
        <v>38.496610169491525</v>
      </c>
      <c r="G67" s="97"/>
      <c r="H67" s="99">
        <v>104.205370842143</v>
      </c>
      <c r="I67" s="94">
        <f t="shared" si="2"/>
        <v>32.947516145442023</v>
      </c>
      <c r="J67" s="92" t="s">
        <v>17</v>
      </c>
      <c r="K67" s="77">
        <f t="shared" si="3"/>
        <v>35.722063157466778</v>
      </c>
      <c r="M67" s="77">
        <f t="shared" si="4"/>
        <v>35.722063157466778</v>
      </c>
    </row>
    <row r="68" spans="1:13" x14ac:dyDescent="0.25">
      <c r="A68" s="78" t="s">
        <v>283</v>
      </c>
      <c r="B68" s="88" t="s">
        <v>409</v>
      </c>
      <c r="C68" s="91">
        <v>95</v>
      </c>
      <c r="D68" s="74">
        <v>95</v>
      </c>
      <c r="E68" s="52">
        <f t="shared" ref="E68" si="108">IF(NOT(ISBLANK(D68)),(C68+D68)/2,"")</f>
        <v>95</v>
      </c>
      <c r="F68" s="94">
        <f t="shared" ref="F68" si="109">IF(ISNUMBER(E68),(E68-69.8)*(113/118),"")</f>
        <v>24.132203389830511</v>
      </c>
      <c r="G68" s="97"/>
      <c r="H68" s="99"/>
      <c r="I68" s="94" t="str">
        <f t="shared" ref="I68" si="110">IF(ISNUMBER(H68),(H68-69.8)*(113/118),"")</f>
        <v/>
      </c>
      <c r="J68" s="92" t="s">
        <v>17</v>
      </c>
      <c r="K68" s="77">
        <f t="shared" ref="K68" si="111">IF(AND(J68=1,ISNUMBER(E68)),E68,IF(AND(J68=2,ISNUMBER(G68)),G68,IF(AND(J68=3,ISNUMBER(I68)),I68,IF(AND(J68="Average",OR(ISNUMBER(F68),ISNUMBER(G68),ISNUMBER(I68))),AVERAGE(F68,G68,I68),""))))</f>
        <v>24.132203389830511</v>
      </c>
      <c r="M68" s="77">
        <f t="shared" ref="M68" si="112">IF(ISNUMBER(L68),K68*(1-0.05*L68),K68)</f>
        <v>24.132203389830511</v>
      </c>
    </row>
    <row r="69" spans="1:13" x14ac:dyDescent="0.25">
      <c r="A69" s="78" t="s">
        <v>350</v>
      </c>
      <c r="B69" s="88" t="s">
        <v>351</v>
      </c>
      <c r="C69" s="91">
        <v>100</v>
      </c>
      <c r="D69" s="74">
        <v>105</v>
      </c>
      <c r="E69" s="52">
        <f t="shared" si="0"/>
        <v>102.5</v>
      </c>
      <c r="F69" s="94">
        <f t="shared" si="1"/>
        <v>31.31440677966102</v>
      </c>
      <c r="G69" s="97">
        <v>38</v>
      </c>
      <c r="H69" s="99"/>
      <c r="I69" s="94" t="str">
        <f t="shared" si="2"/>
        <v/>
      </c>
      <c r="J69" s="92" t="s">
        <v>17</v>
      </c>
      <c r="K69" s="77">
        <f t="shared" si="3"/>
        <v>34.657203389830514</v>
      </c>
      <c r="M69" s="77">
        <f t="shared" si="4"/>
        <v>34.657203389830514</v>
      </c>
    </row>
    <row r="70" spans="1:13" x14ac:dyDescent="0.25">
      <c r="A70" s="78" t="s">
        <v>315</v>
      </c>
      <c r="B70" s="88" t="s">
        <v>316</v>
      </c>
      <c r="C70" s="91">
        <v>90</v>
      </c>
      <c r="D70" s="74">
        <v>90</v>
      </c>
      <c r="E70" s="52">
        <f t="shared" ref="E70" si="113">IF(NOT(ISBLANK(D70)),(C70+D70)/2,"")</f>
        <v>90</v>
      </c>
      <c r="F70" s="94">
        <f t="shared" ref="F70" si="114">IF(ISNUMBER(E70),(E70-69.8)*(113/118),"")</f>
        <v>19.344067796610172</v>
      </c>
      <c r="G70" s="97"/>
      <c r="H70" s="99"/>
      <c r="I70" s="94" t="str">
        <f t="shared" ref="I70" si="115">IF(ISNUMBER(H70),(H70-69.8)*(113/118),"")</f>
        <v/>
      </c>
      <c r="J70" s="92" t="s">
        <v>17</v>
      </c>
      <c r="K70" s="77">
        <f t="shared" ref="K70" si="116">IF(AND(J70=1,ISNUMBER(E70)),E70,IF(AND(J70=2,ISNUMBER(G70)),G70,IF(AND(J70=3,ISNUMBER(I70)),I70,IF(AND(J70="Average",OR(ISNUMBER(F70),ISNUMBER(G70),ISNUMBER(I70))),AVERAGE(F70,G70,I70),""))))</f>
        <v>19.344067796610172</v>
      </c>
      <c r="M70" s="77">
        <f t="shared" si="4"/>
        <v>19.344067796610172</v>
      </c>
    </row>
    <row r="71" spans="1:13" x14ac:dyDescent="0.25">
      <c r="A71" s="78" t="s">
        <v>312</v>
      </c>
      <c r="B71" s="88" t="s">
        <v>313</v>
      </c>
      <c r="C71" s="91">
        <v>120</v>
      </c>
      <c r="D71" s="74">
        <v>120</v>
      </c>
      <c r="E71" s="52">
        <f t="shared" si="0"/>
        <v>120</v>
      </c>
      <c r="F71" s="94">
        <f t="shared" si="1"/>
        <v>48.072881355932203</v>
      </c>
      <c r="G71" s="97"/>
      <c r="H71" s="99"/>
      <c r="I71" s="94" t="str">
        <f t="shared" si="2"/>
        <v/>
      </c>
      <c r="J71" s="92" t="s">
        <v>17</v>
      </c>
      <c r="K71" s="77">
        <f t="shared" si="3"/>
        <v>48.072881355932203</v>
      </c>
      <c r="M71" s="77">
        <f t="shared" si="4"/>
        <v>48.072881355932203</v>
      </c>
    </row>
    <row r="72" spans="1:13" x14ac:dyDescent="0.25">
      <c r="A72" s="73" t="s">
        <v>213</v>
      </c>
      <c r="B72" s="87" t="s">
        <v>190</v>
      </c>
      <c r="C72" s="91">
        <v>88</v>
      </c>
      <c r="D72" s="74">
        <v>92</v>
      </c>
      <c r="E72" s="52">
        <f t="shared" ref="E72:E116" si="117">IF(NOT(ISBLANK(D72)),(C72+D72)/2,"")</f>
        <v>90</v>
      </c>
      <c r="F72" s="94">
        <f t="shared" ref="F72:F116" si="118">IF(ISNUMBER(E72),(E72-69.8)*(113/118),"")</f>
        <v>19.344067796610172</v>
      </c>
      <c r="G72" s="97"/>
      <c r="H72" s="99">
        <v>93.224057591622994</v>
      </c>
      <c r="I72" s="94">
        <f t="shared" ref="I72:I116" si="119">IF(ISNUMBER(H72),(H72-69.8)*(113/118),"")</f>
        <v>22.431512778418632</v>
      </c>
      <c r="J72" s="92" t="s">
        <v>17</v>
      </c>
      <c r="K72" s="77">
        <f t="shared" si="3"/>
        <v>20.887790287514402</v>
      </c>
      <c r="M72" s="77">
        <f t="shared" si="4"/>
        <v>20.887790287514402</v>
      </c>
    </row>
    <row r="73" spans="1:13" x14ac:dyDescent="0.25">
      <c r="A73" s="73" t="s">
        <v>192</v>
      </c>
      <c r="B73" s="87" t="s">
        <v>190</v>
      </c>
      <c r="C73" s="91">
        <v>98</v>
      </c>
      <c r="D73" s="74">
        <v>101</v>
      </c>
      <c r="E73" s="52">
        <f t="shared" si="117"/>
        <v>99.5</v>
      </c>
      <c r="F73" s="94">
        <f t="shared" si="118"/>
        <v>28.441525423728816</v>
      </c>
      <c r="G73" s="97"/>
      <c r="H73" s="99"/>
      <c r="I73" s="94" t="str">
        <f t="shared" si="119"/>
        <v/>
      </c>
      <c r="J73" s="92" t="s">
        <v>17</v>
      </c>
      <c r="K73" s="77">
        <f t="shared" si="3"/>
        <v>28.441525423728816</v>
      </c>
      <c r="M73" s="77">
        <f t="shared" si="4"/>
        <v>28.441525423728816</v>
      </c>
    </row>
    <row r="74" spans="1:13" x14ac:dyDescent="0.25">
      <c r="A74" s="78" t="s">
        <v>327</v>
      </c>
      <c r="B74" s="88" t="s">
        <v>190</v>
      </c>
      <c r="C74" s="91">
        <v>98</v>
      </c>
      <c r="D74" s="74">
        <v>104</v>
      </c>
      <c r="E74" s="52">
        <f t="shared" si="117"/>
        <v>101</v>
      </c>
      <c r="F74" s="94">
        <f t="shared" si="118"/>
        <v>29.877966101694916</v>
      </c>
      <c r="G74" s="97"/>
      <c r="H74" s="99"/>
      <c r="I74" s="94" t="str">
        <f t="shared" si="119"/>
        <v/>
      </c>
      <c r="J74" s="92" t="s">
        <v>17</v>
      </c>
      <c r="K74" s="77">
        <f t="shared" ref="K74" si="120">IF(AND(J74=1,ISNUMBER(E74)),E74,IF(AND(J74=2,ISNUMBER(G74)),G74,IF(AND(J74=3,ISNUMBER(I74)),I74,IF(AND(J74="Average",OR(ISNUMBER(F74),ISNUMBER(G74),ISNUMBER(I74))),AVERAGE(F74,G74,I74),""))))</f>
        <v>29.877966101694916</v>
      </c>
      <c r="M74" s="77">
        <f t="shared" si="4"/>
        <v>29.877966101694916</v>
      </c>
    </row>
    <row r="75" spans="1:13" x14ac:dyDescent="0.25">
      <c r="A75" s="73" t="s">
        <v>189</v>
      </c>
      <c r="B75" s="87" t="s">
        <v>190</v>
      </c>
      <c r="C75" s="91">
        <v>100</v>
      </c>
      <c r="D75" s="74">
        <v>105</v>
      </c>
      <c r="E75" s="52">
        <f t="shared" si="117"/>
        <v>102.5</v>
      </c>
      <c r="F75" s="94">
        <f t="shared" si="118"/>
        <v>31.31440677966102</v>
      </c>
      <c r="G75" s="97"/>
      <c r="H75" s="99"/>
      <c r="I75" s="94" t="str">
        <f t="shared" si="119"/>
        <v/>
      </c>
      <c r="J75" s="92" t="s">
        <v>17</v>
      </c>
      <c r="K75" s="77">
        <f t="shared" si="3"/>
        <v>31.31440677966102</v>
      </c>
      <c r="M75" s="77">
        <f t="shared" si="4"/>
        <v>31.31440677966102</v>
      </c>
    </row>
    <row r="76" spans="1:13" x14ac:dyDescent="0.25">
      <c r="A76" s="73" t="s">
        <v>191</v>
      </c>
      <c r="B76" s="87" t="s">
        <v>190</v>
      </c>
      <c r="C76" s="91">
        <v>98</v>
      </c>
      <c r="D76" s="74">
        <v>101</v>
      </c>
      <c r="E76" s="52">
        <f t="shared" si="117"/>
        <v>99.5</v>
      </c>
      <c r="F76" s="94">
        <f t="shared" si="118"/>
        <v>28.441525423728816</v>
      </c>
      <c r="G76" s="97"/>
      <c r="H76" s="99"/>
      <c r="I76" s="94" t="str">
        <f t="shared" si="119"/>
        <v/>
      </c>
      <c r="J76" s="92" t="s">
        <v>17</v>
      </c>
      <c r="K76" s="77">
        <f t="shared" si="3"/>
        <v>28.441525423728816</v>
      </c>
      <c r="M76" s="77">
        <f t="shared" si="4"/>
        <v>28.441525423728816</v>
      </c>
    </row>
    <row r="77" spans="1:13" x14ac:dyDescent="0.25">
      <c r="A77" s="78" t="s">
        <v>329</v>
      </c>
      <c r="B77" s="88" t="s">
        <v>190</v>
      </c>
      <c r="C77" s="91">
        <v>125</v>
      </c>
      <c r="D77" s="74">
        <v>125</v>
      </c>
      <c r="E77" s="52">
        <f t="shared" ref="E77" si="121">IF(NOT(ISBLANK(D77)),(C77+D77)/2,"")</f>
        <v>125</v>
      </c>
      <c r="F77" s="94">
        <f t="shared" ref="F77" si="122">IF(ISNUMBER(E77),(E77-69.8)*(113/118),"")</f>
        <v>52.861016949152543</v>
      </c>
      <c r="G77" s="97"/>
      <c r="H77" s="99"/>
      <c r="I77" s="94" t="str">
        <f t="shared" ref="I77" si="123">IF(ISNUMBER(H77),(H77-69.8)*(113/118),"")</f>
        <v/>
      </c>
      <c r="J77" s="92" t="s">
        <v>17</v>
      </c>
      <c r="K77" s="77">
        <f t="shared" si="3"/>
        <v>52.861016949152543</v>
      </c>
      <c r="M77" s="77">
        <f t="shared" si="4"/>
        <v>52.861016949152543</v>
      </c>
    </row>
    <row r="78" spans="1:13" x14ac:dyDescent="0.25">
      <c r="A78" s="73" t="s">
        <v>216</v>
      </c>
      <c r="B78" s="87" t="s">
        <v>190</v>
      </c>
      <c r="C78" s="91">
        <v>88</v>
      </c>
      <c r="D78" s="74">
        <v>92</v>
      </c>
      <c r="E78" s="52">
        <f t="shared" si="117"/>
        <v>90</v>
      </c>
      <c r="F78" s="94">
        <f t="shared" si="118"/>
        <v>19.344067796610172</v>
      </c>
      <c r="G78" s="97"/>
      <c r="H78" s="99">
        <v>93.224057591622994</v>
      </c>
      <c r="I78" s="94">
        <f t="shared" si="119"/>
        <v>22.431512778418632</v>
      </c>
      <c r="J78" s="92" t="s">
        <v>17</v>
      </c>
      <c r="K78" s="77">
        <f t="shared" si="3"/>
        <v>20.887790287514402</v>
      </c>
      <c r="M78" s="77">
        <f t="shared" si="4"/>
        <v>20.887790287514402</v>
      </c>
    </row>
    <row r="79" spans="1:13" x14ac:dyDescent="0.25">
      <c r="A79" s="73" t="s">
        <v>250</v>
      </c>
      <c r="B79" s="87" t="s">
        <v>249</v>
      </c>
      <c r="C79" s="91"/>
      <c r="D79" s="74"/>
      <c r="E79" s="52" t="str">
        <f t="shared" si="117"/>
        <v/>
      </c>
      <c r="F79" s="94" t="str">
        <f t="shared" si="118"/>
        <v/>
      </c>
      <c r="G79" s="97"/>
      <c r="H79" s="99">
        <v>94.934783181006395</v>
      </c>
      <c r="I79" s="94">
        <f t="shared" si="119"/>
        <v>24.069749995370533</v>
      </c>
      <c r="J79" s="92" t="s">
        <v>17</v>
      </c>
      <c r="K79" s="77">
        <f t="shared" si="3"/>
        <v>24.069749995370533</v>
      </c>
      <c r="M79" s="77">
        <f t="shared" si="4"/>
        <v>24.069749995370533</v>
      </c>
    </row>
    <row r="80" spans="1:13" x14ac:dyDescent="0.25">
      <c r="A80" s="73" t="s">
        <v>248</v>
      </c>
      <c r="B80" s="87" t="s">
        <v>249</v>
      </c>
      <c r="C80" s="91"/>
      <c r="D80" s="74"/>
      <c r="E80" s="52" t="str">
        <f t="shared" si="117"/>
        <v/>
      </c>
      <c r="F80" s="94" t="str">
        <f t="shared" si="118"/>
        <v/>
      </c>
      <c r="G80" s="97"/>
      <c r="H80" s="99">
        <v>93.534822129889093</v>
      </c>
      <c r="I80" s="94">
        <f t="shared" si="119"/>
        <v>22.729109327775152</v>
      </c>
      <c r="J80" s="92" t="s">
        <v>17</v>
      </c>
      <c r="K80" s="77">
        <f t="shared" si="3"/>
        <v>22.729109327775152</v>
      </c>
      <c r="M80" s="77">
        <f t="shared" si="4"/>
        <v>22.729109327775152</v>
      </c>
    </row>
    <row r="81" spans="1:13" x14ac:dyDescent="0.25">
      <c r="A81" s="73" t="s">
        <v>253</v>
      </c>
      <c r="B81" s="87" t="s">
        <v>249</v>
      </c>
      <c r="C81" s="91"/>
      <c r="D81" s="74"/>
      <c r="E81" s="52" t="str">
        <f t="shared" si="117"/>
        <v/>
      </c>
      <c r="F81" s="94" t="str">
        <f t="shared" si="118"/>
        <v/>
      </c>
      <c r="G81" s="97"/>
      <c r="H81" s="99">
        <v>102.181544403545</v>
      </c>
      <c r="I81" s="94">
        <f t="shared" si="119"/>
        <v>31.009445064411743</v>
      </c>
      <c r="J81" s="92" t="s">
        <v>17</v>
      </c>
      <c r="K81" s="77">
        <f t="shared" si="3"/>
        <v>31.009445064411743</v>
      </c>
      <c r="M81" s="77">
        <f t="shared" si="4"/>
        <v>31.009445064411743</v>
      </c>
    </row>
    <row r="82" spans="1:13" x14ac:dyDescent="0.25">
      <c r="A82" s="73" t="s">
        <v>283</v>
      </c>
      <c r="B82" s="87" t="s">
        <v>249</v>
      </c>
      <c r="C82" s="91">
        <v>125</v>
      </c>
      <c r="D82" s="74">
        <v>125</v>
      </c>
      <c r="E82" s="52">
        <f t="shared" si="117"/>
        <v>125</v>
      </c>
      <c r="F82" s="94">
        <f t="shared" si="118"/>
        <v>52.861016949152543</v>
      </c>
      <c r="G82" s="97"/>
      <c r="H82" s="99"/>
      <c r="I82" s="94" t="str">
        <f t="shared" si="119"/>
        <v/>
      </c>
      <c r="J82" s="92" t="s">
        <v>17</v>
      </c>
      <c r="K82" s="77">
        <f t="shared" ref="K82" si="124">IF(AND(J82=1,ISNUMBER(E82)),E82,IF(AND(J82=2,ISNUMBER(G82)),G82,IF(AND(J82=3,ISNUMBER(I82)),I82,IF(AND(J82="Average",OR(ISNUMBER(F82),ISNUMBER(G82),ISNUMBER(I82))),AVERAGE(F82,G82,I82),""))))</f>
        <v>52.861016949152543</v>
      </c>
      <c r="M82" s="77">
        <f t="shared" si="4"/>
        <v>52.861016949152543</v>
      </c>
    </row>
    <row r="83" spans="1:13" x14ac:dyDescent="0.25">
      <c r="A83" s="73" t="s">
        <v>243</v>
      </c>
      <c r="B83" s="87" t="s">
        <v>242</v>
      </c>
      <c r="C83" s="91"/>
      <c r="D83" s="74"/>
      <c r="E83" s="52" t="str">
        <f t="shared" si="117"/>
        <v/>
      </c>
      <c r="F83" s="94" t="str">
        <f t="shared" si="118"/>
        <v/>
      </c>
      <c r="G83" s="97">
        <v>12</v>
      </c>
      <c r="H83" s="99">
        <v>83.201950539396606</v>
      </c>
      <c r="I83" s="94">
        <f t="shared" si="119"/>
        <v>12.834071279252685</v>
      </c>
      <c r="J83" s="92" t="s">
        <v>17</v>
      </c>
      <c r="K83" s="77">
        <f t="shared" si="3"/>
        <v>12.417035639626341</v>
      </c>
      <c r="M83" s="77">
        <f t="shared" si="4"/>
        <v>12.417035639626341</v>
      </c>
    </row>
    <row r="84" spans="1:13" x14ac:dyDescent="0.25">
      <c r="A84" s="73" t="s">
        <v>244</v>
      </c>
      <c r="B84" s="87" t="s">
        <v>242</v>
      </c>
      <c r="C84" s="91"/>
      <c r="D84" s="74"/>
      <c r="E84" s="52" t="str">
        <f t="shared" si="117"/>
        <v/>
      </c>
      <c r="F84" s="94" t="str">
        <f t="shared" si="118"/>
        <v/>
      </c>
      <c r="G84" s="97">
        <v>26</v>
      </c>
      <c r="H84" s="99">
        <v>94.386988249427205</v>
      </c>
      <c r="I84" s="94">
        <f t="shared" si="119"/>
        <v>23.545166713434529</v>
      </c>
      <c r="J84" s="92" t="s">
        <v>17</v>
      </c>
      <c r="K84" s="77">
        <f t="shared" si="3"/>
        <v>24.772583356717263</v>
      </c>
      <c r="M84" s="77">
        <f t="shared" si="4"/>
        <v>24.772583356717263</v>
      </c>
    </row>
    <row r="85" spans="1:13" x14ac:dyDescent="0.25">
      <c r="A85" s="73" t="s">
        <v>241</v>
      </c>
      <c r="B85" s="87" t="s">
        <v>242</v>
      </c>
      <c r="C85" s="91"/>
      <c r="D85" s="74"/>
      <c r="E85" s="52" t="str">
        <f t="shared" si="117"/>
        <v/>
      </c>
      <c r="F85" s="94" t="str">
        <f t="shared" si="118"/>
        <v/>
      </c>
      <c r="G85" s="97">
        <v>18</v>
      </c>
      <c r="H85" s="99">
        <v>92.911328124999997</v>
      </c>
      <c r="I85" s="94">
        <f t="shared" si="119"/>
        <v>22.132034560381356</v>
      </c>
      <c r="J85" s="92" t="s">
        <v>17</v>
      </c>
      <c r="K85" s="77">
        <f t="shared" si="3"/>
        <v>20.066017280190678</v>
      </c>
      <c r="M85" s="77">
        <f t="shared" si="4"/>
        <v>20.066017280190678</v>
      </c>
    </row>
    <row r="86" spans="1:13" x14ac:dyDescent="0.25">
      <c r="A86" s="78" t="s">
        <v>318</v>
      </c>
      <c r="B86" s="88" t="s">
        <v>319</v>
      </c>
      <c r="C86" s="91">
        <v>70</v>
      </c>
      <c r="D86" s="74">
        <v>70</v>
      </c>
      <c r="E86" s="52">
        <f t="shared" si="117"/>
        <v>70</v>
      </c>
      <c r="F86" s="94">
        <f t="shared" si="118"/>
        <v>0.19152542372881629</v>
      </c>
      <c r="G86" s="97"/>
      <c r="H86" s="99"/>
      <c r="I86" s="94" t="str">
        <f t="shared" si="119"/>
        <v/>
      </c>
      <c r="J86" s="92" t="s">
        <v>17</v>
      </c>
      <c r="K86" s="77">
        <f t="shared" ref="K86" si="125">IF(AND(J86=1,ISNUMBER(E86)),E86,IF(AND(J86=2,ISNUMBER(G86)),G86,IF(AND(J86=3,ISNUMBER(I86)),I86,IF(AND(J86="Average",OR(ISNUMBER(F86),ISNUMBER(G86),ISNUMBER(I86))),AVERAGE(F86,G86,I86),""))))</f>
        <v>0.19152542372881629</v>
      </c>
      <c r="M86" s="77">
        <f t="shared" si="4"/>
        <v>0.19152542372881629</v>
      </c>
    </row>
    <row r="87" spans="1:13" x14ac:dyDescent="0.25">
      <c r="A87" s="78" t="s">
        <v>375</v>
      </c>
      <c r="B87" s="88" t="s">
        <v>319</v>
      </c>
      <c r="C87" s="91">
        <v>105</v>
      </c>
      <c r="D87" s="74">
        <v>105</v>
      </c>
      <c r="E87" s="52">
        <f t="shared" ref="E87" si="126">IF(NOT(ISBLANK(D87)),(C87+D87)/2,"")</f>
        <v>105</v>
      </c>
      <c r="F87" s="94">
        <f t="shared" ref="F87" si="127">IF(ISNUMBER(E87),(E87-69.8)*(113/118),"")</f>
        <v>33.708474576271186</v>
      </c>
      <c r="G87" s="97"/>
      <c r="H87" s="99"/>
      <c r="I87" s="94" t="str">
        <f t="shared" ref="I87" si="128">IF(ISNUMBER(H87),(H87-69.8)*(113/118),"")</f>
        <v/>
      </c>
      <c r="J87" s="92" t="s">
        <v>17</v>
      </c>
      <c r="K87" s="77">
        <f t="shared" ref="K87" si="129">IF(AND(J87=1,ISNUMBER(E87)),E87,IF(AND(J87=2,ISNUMBER(G87)),G87,IF(AND(J87=3,ISNUMBER(I87)),I87,IF(AND(J87="Average",OR(ISNUMBER(F87),ISNUMBER(G87),ISNUMBER(I87))),AVERAGE(F87,G87,I87),""))))</f>
        <v>33.708474576271186</v>
      </c>
      <c r="M87" s="77">
        <f t="shared" ref="M87" si="130">IF(ISNUMBER(L87),K87*(1-0.05*L87),K87)</f>
        <v>33.708474576271186</v>
      </c>
    </row>
    <row r="88" spans="1:13" x14ac:dyDescent="0.25">
      <c r="A88" s="78" t="s">
        <v>379</v>
      </c>
      <c r="B88" s="88" t="s">
        <v>319</v>
      </c>
      <c r="C88" s="91">
        <v>115</v>
      </c>
      <c r="D88" s="74">
        <v>115</v>
      </c>
      <c r="E88" s="52">
        <f t="shared" ref="E88" si="131">IF(NOT(ISBLANK(D88)),(C88+D88)/2,"")</f>
        <v>115</v>
      </c>
      <c r="F88" s="94">
        <f t="shared" ref="F88" si="132">IF(ISNUMBER(E88),(E88-69.8)*(113/118),"")</f>
        <v>43.284745762711864</v>
      </c>
      <c r="G88" s="97"/>
      <c r="H88" s="99"/>
      <c r="I88" s="94" t="str">
        <f t="shared" ref="I88" si="133">IF(ISNUMBER(H88),(H88-69.8)*(113/118),"")</f>
        <v/>
      </c>
      <c r="J88" s="92" t="s">
        <v>17</v>
      </c>
      <c r="K88" s="77">
        <f t="shared" ref="K88" si="134">IF(AND(J88=1,ISNUMBER(E88)),E88,IF(AND(J88=2,ISNUMBER(G88)),G88,IF(AND(J88=3,ISNUMBER(I88)),I88,IF(AND(J88="Average",OR(ISNUMBER(F88),ISNUMBER(G88),ISNUMBER(I88))),AVERAGE(F88,G88,I88),""))))</f>
        <v>43.284745762711864</v>
      </c>
      <c r="M88" s="77">
        <f t="shared" ref="M88" si="135">IF(ISNUMBER(L88),K88*(1-0.05*L88),K88)</f>
        <v>43.284745762711864</v>
      </c>
    </row>
    <row r="89" spans="1:13" x14ac:dyDescent="0.25">
      <c r="A89" s="78" t="s">
        <v>205</v>
      </c>
      <c r="B89" s="88" t="s">
        <v>380</v>
      </c>
      <c r="C89" s="91"/>
      <c r="D89" s="74"/>
      <c r="E89" s="52" t="str">
        <f>IF(NOT(ISBLANK(D89)),(C89+D89)/2,"")</f>
        <v/>
      </c>
      <c r="F89" s="94" t="str">
        <f>IF(ISNUMBER(E89),(E89-69.8)*(113/118),"")</f>
        <v/>
      </c>
      <c r="G89" s="97">
        <v>16</v>
      </c>
      <c r="H89" s="99"/>
      <c r="I89" s="94" t="str">
        <f>IF(ISNUMBER(H89),(H89-69.8)*(113/118),"")</f>
        <v/>
      </c>
      <c r="J89" s="92" t="s">
        <v>17</v>
      </c>
      <c r="K89" s="77">
        <f>IF(AND(J89=1,ISNUMBER(E89)),E89,IF(AND(J89=2,ISNUMBER(G89)),G89,IF(AND(J89=3,ISNUMBER(I89)),I89,IF(AND(J89="Average",OR(ISNUMBER(F89),ISNUMBER(G89),ISNUMBER(I89))),AVERAGE(F89,G89,I89),""))))</f>
        <v>16</v>
      </c>
      <c r="M89" s="77">
        <f>IF(ISNUMBER(L89),K89*(1-0.05*L89),K89)</f>
        <v>16</v>
      </c>
    </row>
    <row r="90" spans="1:13" x14ac:dyDescent="0.25">
      <c r="A90" s="78" t="s">
        <v>197</v>
      </c>
      <c r="B90" s="88" t="s">
        <v>380</v>
      </c>
      <c r="C90" s="91"/>
      <c r="D90" s="74"/>
      <c r="E90" s="52" t="str">
        <f>IF(NOT(ISBLANK(D90)),(C90+D90)/2,"")</f>
        <v/>
      </c>
      <c r="F90" s="94" t="str">
        <f>IF(ISNUMBER(E90),(E90-69.8)*(113/118),"")</f>
        <v/>
      </c>
      <c r="G90" s="97">
        <v>20</v>
      </c>
      <c r="H90" s="99"/>
      <c r="I90" s="94" t="str">
        <f>IF(ISNUMBER(H90),(H90-69.8)*(113/118),"")</f>
        <v/>
      </c>
      <c r="J90" s="92" t="s">
        <v>17</v>
      </c>
      <c r="K90" s="77">
        <f>IF(AND(J90=1,ISNUMBER(E90)),E90,IF(AND(J90=2,ISNUMBER(G90)),G90,IF(AND(J90=3,ISNUMBER(I90)),I90,IF(AND(J90="Average",OR(ISNUMBER(F90),ISNUMBER(G90),ISNUMBER(I90))),AVERAGE(F90,G90,I90),""))))</f>
        <v>20</v>
      </c>
      <c r="M90" s="77">
        <f>IF(ISNUMBER(L90),K90*(1-0.05*L90),K90)</f>
        <v>20</v>
      </c>
    </row>
    <row r="91" spans="1:13" x14ac:dyDescent="0.25">
      <c r="A91" s="73" t="s">
        <v>258</v>
      </c>
      <c r="B91" s="87" t="s">
        <v>380</v>
      </c>
      <c r="C91" s="91">
        <v>90</v>
      </c>
      <c r="D91" s="74">
        <v>95</v>
      </c>
      <c r="E91" s="52">
        <f t="shared" si="117"/>
        <v>92.5</v>
      </c>
      <c r="F91" s="94">
        <f t="shared" si="118"/>
        <v>21.738135593220342</v>
      </c>
      <c r="G91" s="97"/>
      <c r="H91" s="99"/>
      <c r="I91" s="94" t="str">
        <f t="shared" si="119"/>
        <v/>
      </c>
      <c r="J91" s="92" t="s">
        <v>17</v>
      </c>
      <c r="K91" s="77">
        <f t="shared" si="3"/>
        <v>21.738135593220342</v>
      </c>
      <c r="M91" s="77">
        <f t="shared" si="4"/>
        <v>21.738135593220342</v>
      </c>
    </row>
    <row r="92" spans="1:13" x14ac:dyDescent="0.25">
      <c r="A92" s="78" t="s">
        <v>430</v>
      </c>
      <c r="B92" s="88" t="s">
        <v>380</v>
      </c>
      <c r="C92" s="91"/>
      <c r="D92" s="74"/>
      <c r="E92" s="52" t="str">
        <f t="shared" ref="E92" si="136">IF(NOT(ISBLANK(D92)),(C92+D92)/2,"")</f>
        <v/>
      </c>
      <c r="F92" s="94" t="str">
        <f t="shared" ref="F92" si="137">IF(ISNUMBER(E92),(E92-69.8)*(113/118),"")</f>
        <v/>
      </c>
      <c r="G92" s="97">
        <v>25</v>
      </c>
      <c r="H92" s="99"/>
      <c r="I92" s="94" t="str">
        <f t="shared" ref="I92" si="138">IF(ISNUMBER(H92),(H92-69.8)*(113/118),"")</f>
        <v/>
      </c>
      <c r="J92" s="92" t="s">
        <v>17</v>
      </c>
      <c r="K92" s="77">
        <f t="shared" ref="K92" si="139">IF(AND(J92=1,ISNUMBER(E92)),E92,IF(AND(J92=2,ISNUMBER(G92)),G92,IF(AND(J92=3,ISNUMBER(I92)),I92,IF(AND(J92="Average",OR(ISNUMBER(F92),ISNUMBER(G92),ISNUMBER(I92))),AVERAGE(F92,G92,I92),""))))</f>
        <v>25</v>
      </c>
      <c r="M92" s="77">
        <f t="shared" ref="M92" si="140">IF(ISNUMBER(L92),K92*(1-0.05*L92),K92)</f>
        <v>25</v>
      </c>
    </row>
    <row r="93" spans="1:13" x14ac:dyDescent="0.25">
      <c r="A93" s="73" t="s">
        <v>260</v>
      </c>
      <c r="B93" s="87" t="s">
        <v>380</v>
      </c>
      <c r="C93" s="91">
        <v>100</v>
      </c>
      <c r="D93" s="74">
        <v>105</v>
      </c>
      <c r="E93" s="52">
        <f t="shared" si="117"/>
        <v>102.5</v>
      </c>
      <c r="F93" s="94">
        <f t="shared" si="118"/>
        <v>31.31440677966102</v>
      </c>
      <c r="G93" s="97"/>
      <c r="H93" s="99"/>
      <c r="I93" s="94" t="str">
        <f t="shared" si="119"/>
        <v/>
      </c>
      <c r="J93" s="92" t="s">
        <v>17</v>
      </c>
      <c r="K93" s="77">
        <f t="shared" si="3"/>
        <v>31.31440677966102</v>
      </c>
      <c r="M93" s="77">
        <f t="shared" si="4"/>
        <v>31.31440677966102</v>
      </c>
    </row>
    <row r="94" spans="1:13" x14ac:dyDescent="0.25">
      <c r="A94" s="73" t="s">
        <v>192</v>
      </c>
      <c r="B94" s="87" t="s">
        <v>349</v>
      </c>
      <c r="C94" s="91">
        <v>97</v>
      </c>
      <c r="D94" s="74">
        <v>99</v>
      </c>
      <c r="E94" s="52">
        <f t="shared" si="117"/>
        <v>98</v>
      </c>
      <c r="F94" s="94">
        <f t="shared" si="118"/>
        <v>27.005084745762716</v>
      </c>
      <c r="G94" s="97">
        <v>23</v>
      </c>
      <c r="H94" s="99"/>
      <c r="I94" s="94" t="str">
        <f t="shared" si="119"/>
        <v/>
      </c>
      <c r="J94" s="92" t="s">
        <v>17</v>
      </c>
      <c r="K94" s="77">
        <f t="shared" si="3"/>
        <v>25.002542372881358</v>
      </c>
      <c r="M94" s="77">
        <f t="shared" si="4"/>
        <v>25.002542372881358</v>
      </c>
    </row>
    <row r="95" spans="1:13" x14ac:dyDescent="0.25">
      <c r="A95" s="73" t="s">
        <v>202</v>
      </c>
      <c r="B95" s="87" t="s">
        <v>203</v>
      </c>
      <c r="C95" s="91">
        <v>95</v>
      </c>
      <c r="D95" s="74">
        <v>100</v>
      </c>
      <c r="E95" s="52">
        <f t="shared" si="117"/>
        <v>97.5</v>
      </c>
      <c r="F95" s="94">
        <f t="shared" si="118"/>
        <v>26.526271186440681</v>
      </c>
      <c r="G95" s="97"/>
      <c r="H95" s="99">
        <v>99.118998129669507</v>
      </c>
      <c r="I95" s="94">
        <f t="shared" si="119"/>
        <v>28.076667700446226</v>
      </c>
      <c r="J95" s="92" t="s">
        <v>17</v>
      </c>
      <c r="K95" s="77">
        <f t="shared" si="3"/>
        <v>27.301469443443452</v>
      </c>
      <c r="M95" s="77">
        <f t="shared" si="4"/>
        <v>27.301469443443452</v>
      </c>
    </row>
    <row r="96" spans="1:13" x14ac:dyDescent="0.25">
      <c r="A96" s="73" t="s">
        <v>360</v>
      </c>
      <c r="B96" s="87" t="s">
        <v>359</v>
      </c>
      <c r="C96" s="91">
        <v>120</v>
      </c>
      <c r="D96" s="74">
        <v>120</v>
      </c>
      <c r="E96" s="52">
        <f t="shared" ref="E96" si="141">IF(NOT(ISBLANK(D96)),(C96+D96)/2,"")</f>
        <v>120</v>
      </c>
      <c r="F96" s="94">
        <f t="shared" ref="F96" si="142">IF(ISNUMBER(E96),(E96-69.8)*(113/118),"")</f>
        <v>48.072881355932203</v>
      </c>
      <c r="G96" s="97"/>
      <c r="H96" s="99"/>
      <c r="I96" s="94" t="str">
        <f t="shared" ref="I96" si="143">IF(ISNUMBER(H96),(H96-69.8)*(113/118),"")</f>
        <v/>
      </c>
      <c r="J96" s="92" t="s">
        <v>17</v>
      </c>
      <c r="K96" s="77">
        <f t="shared" ref="K96" si="144">IF(AND(J96=1,ISNUMBER(E96)),E96,IF(AND(J96=2,ISNUMBER(G96)),G96,IF(AND(J96=3,ISNUMBER(I96)),I96,IF(AND(J96="Average",OR(ISNUMBER(F96),ISNUMBER(G96),ISNUMBER(I96))),AVERAGE(F96,G96,I96),""))))</f>
        <v>48.072881355932203</v>
      </c>
      <c r="M96" s="77">
        <f t="shared" ref="M96" si="145">IF(ISNUMBER(L96),K96*(1-0.05*L96),K96)</f>
        <v>48.072881355932203</v>
      </c>
    </row>
    <row r="97" spans="1:13" x14ac:dyDescent="0.25">
      <c r="A97" s="73" t="s">
        <v>181</v>
      </c>
      <c r="B97" s="87" t="s">
        <v>237</v>
      </c>
      <c r="C97" s="91"/>
      <c r="D97" s="74"/>
      <c r="E97" s="52" t="str">
        <f t="shared" si="117"/>
        <v/>
      </c>
      <c r="F97" s="94" t="str">
        <f t="shared" si="118"/>
        <v/>
      </c>
      <c r="G97" s="97">
        <v>28</v>
      </c>
      <c r="H97" s="99"/>
      <c r="I97" s="94" t="str">
        <f t="shared" si="119"/>
        <v/>
      </c>
      <c r="J97" s="92" t="s">
        <v>17</v>
      </c>
      <c r="K97" s="77">
        <f t="shared" si="3"/>
        <v>28</v>
      </c>
      <c r="M97" s="77">
        <f t="shared" si="4"/>
        <v>28</v>
      </c>
    </row>
    <row r="98" spans="1:13" x14ac:dyDescent="0.25">
      <c r="A98" s="73" t="s">
        <v>238</v>
      </c>
      <c r="B98" s="87" t="s">
        <v>237</v>
      </c>
      <c r="C98" s="91"/>
      <c r="D98" s="74"/>
      <c r="E98" s="52" t="str">
        <f t="shared" si="117"/>
        <v/>
      </c>
      <c r="F98" s="94" t="str">
        <f t="shared" si="118"/>
        <v/>
      </c>
      <c r="G98" s="97">
        <v>28</v>
      </c>
      <c r="H98" s="99"/>
      <c r="I98" s="94" t="str">
        <f t="shared" si="119"/>
        <v/>
      </c>
      <c r="J98" s="92" t="s">
        <v>17</v>
      </c>
      <c r="K98" s="77">
        <f t="shared" si="3"/>
        <v>28</v>
      </c>
      <c r="M98" s="77">
        <f t="shared" si="4"/>
        <v>28</v>
      </c>
    </row>
    <row r="99" spans="1:13" x14ac:dyDescent="0.25">
      <c r="A99" s="73" t="s">
        <v>239</v>
      </c>
      <c r="B99" s="87" t="s">
        <v>240</v>
      </c>
      <c r="C99" s="91"/>
      <c r="D99" s="74"/>
      <c r="E99" s="52" t="str">
        <f t="shared" si="117"/>
        <v/>
      </c>
      <c r="F99" s="94" t="str">
        <f t="shared" si="118"/>
        <v/>
      </c>
      <c r="G99" s="97">
        <v>2</v>
      </c>
      <c r="H99" s="99"/>
      <c r="I99" s="94" t="str">
        <f t="shared" si="119"/>
        <v/>
      </c>
      <c r="J99" s="92" t="s">
        <v>17</v>
      </c>
      <c r="K99" s="77">
        <f t="shared" si="3"/>
        <v>2</v>
      </c>
      <c r="M99" s="77">
        <f t="shared" si="4"/>
        <v>2</v>
      </c>
    </row>
    <row r="100" spans="1:13" x14ac:dyDescent="0.25">
      <c r="A100" s="73" t="s">
        <v>254</v>
      </c>
      <c r="B100" s="87" t="s">
        <v>255</v>
      </c>
      <c r="C100" s="91"/>
      <c r="D100" s="74"/>
      <c r="E100" s="52" t="str">
        <f t="shared" si="117"/>
        <v/>
      </c>
      <c r="F100" s="94" t="str">
        <f t="shared" si="118"/>
        <v/>
      </c>
      <c r="G100" s="97"/>
      <c r="H100" s="99">
        <v>103.50019148712001</v>
      </c>
      <c r="I100" s="94">
        <f t="shared" si="119"/>
        <v>32.272217271564074</v>
      </c>
      <c r="J100" s="92" t="s">
        <v>17</v>
      </c>
      <c r="K100" s="77">
        <f t="shared" si="3"/>
        <v>32.272217271564074</v>
      </c>
      <c r="M100" s="77">
        <f t="shared" ref="M100:M116" si="146">IF(ISNUMBER(L100),K100*(1-0.05*L100),K100)</f>
        <v>32.272217271564074</v>
      </c>
    </row>
    <row r="101" spans="1:13" x14ac:dyDescent="0.25">
      <c r="A101" s="78" t="s">
        <v>328</v>
      </c>
      <c r="B101" s="88" t="s">
        <v>337</v>
      </c>
      <c r="C101" s="91">
        <v>105</v>
      </c>
      <c r="D101" s="74">
        <v>105</v>
      </c>
      <c r="E101" s="52">
        <f t="shared" si="117"/>
        <v>105</v>
      </c>
      <c r="F101" s="94">
        <f t="shared" si="118"/>
        <v>33.708474576271186</v>
      </c>
      <c r="G101" s="97"/>
      <c r="H101" s="99"/>
      <c r="I101" s="94" t="str">
        <f t="shared" si="119"/>
        <v/>
      </c>
      <c r="J101" s="92" t="s">
        <v>17</v>
      </c>
      <c r="K101" s="77">
        <f t="shared" si="3"/>
        <v>33.708474576271186</v>
      </c>
      <c r="M101" s="77">
        <f t="shared" si="146"/>
        <v>33.708474576271186</v>
      </c>
    </row>
    <row r="102" spans="1:13" x14ac:dyDescent="0.25">
      <c r="A102" s="78" t="s">
        <v>308</v>
      </c>
      <c r="B102" s="88" t="s">
        <v>418</v>
      </c>
      <c r="C102" s="91">
        <v>110</v>
      </c>
      <c r="D102" s="74">
        <v>110</v>
      </c>
      <c r="E102" s="52">
        <f t="shared" ref="E102" si="147">IF(NOT(ISBLANK(D102)),(C102+D102)/2,"")</f>
        <v>110</v>
      </c>
      <c r="F102" s="94">
        <f t="shared" ref="F102" si="148">IF(ISNUMBER(E102),(E102-69.8)*(113/118),"")</f>
        <v>38.496610169491525</v>
      </c>
      <c r="G102" s="97"/>
      <c r="H102" s="99"/>
      <c r="I102" s="94" t="str">
        <f t="shared" ref="I102" si="149">IF(ISNUMBER(H102),(H102-69.8)*(113/118),"")</f>
        <v/>
      </c>
      <c r="J102" s="92" t="s">
        <v>17</v>
      </c>
      <c r="K102" s="77">
        <f t="shared" ref="K102" si="150">IF(AND(J102=1,ISNUMBER(E102)),E102,IF(AND(J102=2,ISNUMBER(G102)),G102,IF(AND(J102=3,ISNUMBER(I102)),I102,IF(AND(J102="Average",OR(ISNUMBER(F102),ISNUMBER(G102),ISNUMBER(I102))),AVERAGE(F102,G102,I102),""))))</f>
        <v>38.496610169491525</v>
      </c>
      <c r="M102" s="77">
        <f t="shared" ref="M102" si="151">IF(ISNUMBER(L102),K102*(1-0.05*L102),K102)</f>
        <v>38.496610169491525</v>
      </c>
    </row>
    <row r="103" spans="1:13" x14ac:dyDescent="0.25">
      <c r="A103" s="73" t="s">
        <v>179</v>
      </c>
      <c r="B103" s="87" t="s">
        <v>180</v>
      </c>
      <c r="C103" s="91"/>
      <c r="D103" s="74"/>
      <c r="E103" s="52" t="str">
        <f t="shared" si="117"/>
        <v/>
      </c>
      <c r="F103" s="94" t="str">
        <f t="shared" si="118"/>
        <v/>
      </c>
      <c r="G103" s="97">
        <v>22</v>
      </c>
      <c r="H103" s="99"/>
      <c r="I103" s="94" t="str">
        <f t="shared" si="119"/>
        <v/>
      </c>
      <c r="J103" s="92" t="s">
        <v>17</v>
      </c>
      <c r="K103" s="77">
        <f t="shared" si="3"/>
        <v>22</v>
      </c>
      <c r="M103" s="77">
        <f t="shared" si="146"/>
        <v>22</v>
      </c>
    </row>
    <row r="104" spans="1:13" x14ac:dyDescent="0.25">
      <c r="A104" s="78" t="s">
        <v>308</v>
      </c>
      <c r="B104" s="88" t="s">
        <v>218</v>
      </c>
      <c r="C104" s="91">
        <v>90</v>
      </c>
      <c r="D104" s="74">
        <v>90</v>
      </c>
      <c r="E104" s="52">
        <f t="shared" ref="E104" si="152">IF(NOT(ISBLANK(D104)),(C104+D104)/2,"")</f>
        <v>90</v>
      </c>
      <c r="F104" s="94">
        <f t="shared" ref="F104" si="153">IF(ISNUMBER(E104),(E104-69.8)*(113/118),"")</f>
        <v>19.344067796610172</v>
      </c>
      <c r="G104" s="97"/>
      <c r="H104" s="99">
        <v>96.2</v>
      </c>
      <c r="I104" s="94">
        <f t="shared" ref="I104" si="154">IF(ISNUMBER(H104),(H104-69.8)*(113/118),"")</f>
        <v>25.281355932203397</v>
      </c>
      <c r="J104" s="92" t="s">
        <v>17</v>
      </c>
      <c r="K104" s="77">
        <f t="shared" ref="K104" si="155">IF(AND(J104=1,ISNUMBER(E104)),E104,IF(AND(J104=2,ISNUMBER(G104)),G104,IF(AND(J104=3,ISNUMBER(I104)),I104,IF(AND(J104="Average",OR(ISNUMBER(F104),ISNUMBER(G104),ISNUMBER(I104))),AVERAGE(F104,G104,I104),""))))</f>
        <v>22.312711864406786</v>
      </c>
      <c r="M104" s="77">
        <f t="shared" si="146"/>
        <v>22.312711864406786</v>
      </c>
    </row>
    <row r="105" spans="1:13" x14ac:dyDescent="0.25">
      <c r="A105" s="73" t="s">
        <v>217</v>
      </c>
      <c r="B105" s="87" t="s">
        <v>218</v>
      </c>
      <c r="C105" s="91">
        <v>110</v>
      </c>
      <c r="D105" s="74">
        <v>110</v>
      </c>
      <c r="E105" s="52">
        <f t="shared" si="117"/>
        <v>110</v>
      </c>
      <c r="F105" s="94">
        <f t="shared" si="118"/>
        <v>38.496610169491525</v>
      </c>
      <c r="G105" s="97"/>
      <c r="H105" s="99"/>
      <c r="I105" s="94" t="str">
        <f t="shared" si="119"/>
        <v/>
      </c>
      <c r="J105" s="92" t="s">
        <v>17</v>
      </c>
      <c r="K105" s="77">
        <f t="shared" si="3"/>
        <v>38.496610169491525</v>
      </c>
      <c r="M105" s="77">
        <f t="shared" si="146"/>
        <v>38.496610169491525</v>
      </c>
    </row>
    <row r="106" spans="1:13" x14ac:dyDescent="0.25">
      <c r="A106" s="73" t="s">
        <v>219</v>
      </c>
      <c r="B106" s="87" t="s">
        <v>218</v>
      </c>
      <c r="C106" s="91">
        <v>110</v>
      </c>
      <c r="D106" s="74">
        <v>110</v>
      </c>
      <c r="E106" s="52">
        <f t="shared" si="117"/>
        <v>110</v>
      </c>
      <c r="F106" s="94">
        <f t="shared" si="118"/>
        <v>38.496610169491525</v>
      </c>
      <c r="G106" s="97"/>
      <c r="H106" s="99"/>
      <c r="I106" s="94" t="str">
        <f t="shared" si="119"/>
        <v/>
      </c>
      <c r="J106" s="92" t="s">
        <v>17</v>
      </c>
      <c r="K106" s="77">
        <f t="shared" si="3"/>
        <v>38.496610169491525</v>
      </c>
      <c r="M106" s="77">
        <f t="shared" si="146"/>
        <v>38.496610169491525</v>
      </c>
    </row>
    <row r="107" spans="1:13" x14ac:dyDescent="0.25">
      <c r="A107" s="78" t="s">
        <v>311</v>
      </c>
      <c r="B107" s="88" t="s">
        <v>218</v>
      </c>
      <c r="C107" s="91">
        <v>105</v>
      </c>
      <c r="D107" s="74">
        <v>105</v>
      </c>
      <c r="E107" s="52">
        <f t="shared" si="117"/>
        <v>105</v>
      </c>
      <c r="F107" s="94">
        <f t="shared" si="118"/>
        <v>33.708474576271186</v>
      </c>
      <c r="G107" s="97"/>
      <c r="H107" s="99"/>
      <c r="I107" s="94" t="str">
        <f t="shared" si="119"/>
        <v/>
      </c>
      <c r="J107" s="92" t="s">
        <v>17</v>
      </c>
      <c r="K107" s="77">
        <f t="shared" si="3"/>
        <v>33.708474576271186</v>
      </c>
      <c r="M107" s="77">
        <f t="shared" si="146"/>
        <v>33.708474576271186</v>
      </c>
    </row>
    <row r="108" spans="1:13" x14ac:dyDescent="0.25">
      <c r="A108" s="78" t="s">
        <v>310</v>
      </c>
      <c r="B108" s="88" t="s">
        <v>218</v>
      </c>
      <c r="C108" s="91">
        <v>105</v>
      </c>
      <c r="D108" s="74">
        <v>105</v>
      </c>
      <c r="E108" s="52">
        <f t="shared" ref="E108" si="156">IF(NOT(ISBLANK(D108)),(C108+D108)/2,"")</f>
        <v>105</v>
      </c>
      <c r="F108" s="94">
        <f t="shared" ref="F108" si="157">IF(ISNUMBER(E108),(E108-69.8)*(113/118),"")</f>
        <v>33.708474576271186</v>
      </c>
      <c r="G108" s="97"/>
      <c r="H108" s="99"/>
      <c r="I108" s="94" t="str">
        <f t="shared" ref="I108" si="158">IF(ISNUMBER(H108),(H108-69.8)*(113/118),"")</f>
        <v/>
      </c>
      <c r="J108" s="92" t="s">
        <v>17</v>
      </c>
      <c r="K108" s="77">
        <f t="shared" ref="K108" si="159">IF(AND(J108=1,ISNUMBER(E108)),E108,IF(AND(J108=2,ISNUMBER(G108)),G108,IF(AND(J108=3,ISNUMBER(I108)),I108,IF(AND(J108="Average",OR(ISNUMBER(F108),ISNUMBER(G108),ISNUMBER(I108))),AVERAGE(F108,G108,I108),""))))</f>
        <v>33.708474576271186</v>
      </c>
      <c r="M108" s="77">
        <f t="shared" si="146"/>
        <v>33.708474576271186</v>
      </c>
    </row>
    <row r="109" spans="1:13" x14ac:dyDescent="0.25">
      <c r="A109" s="78" t="s">
        <v>309</v>
      </c>
      <c r="B109" s="88" t="s">
        <v>218</v>
      </c>
      <c r="C109" s="91">
        <v>105</v>
      </c>
      <c r="D109" s="74">
        <v>105</v>
      </c>
      <c r="E109" s="52">
        <f t="shared" si="117"/>
        <v>105</v>
      </c>
      <c r="F109" s="94">
        <f t="shared" si="118"/>
        <v>33.708474576271186</v>
      </c>
      <c r="G109" s="97"/>
      <c r="H109" s="99"/>
      <c r="I109" s="94" t="str">
        <f t="shared" si="119"/>
        <v/>
      </c>
      <c r="J109" s="92" t="s">
        <v>17</v>
      </c>
      <c r="K109" s="77">
        <f t="shared" si="3"/>
        <v>33.708474576271186</v>
      </c>
      <c r="M109" s="77">
        <f t="shared" si="146"/>
        <v>33.708474576271186</v>
      </c>
    </row>
    <row r="110" spans="1:13" x14ac:dyDescent="0.25">
      <c r="A110" s="73" t="s">
        <v>202</v>
      </c>
      <c r="B110" s="87" t="s">
        <v>218</v>
      </c>
      <c r="C110" s="91">
        <v>90</v>
      </c>
      <c r="D110" s="74">
        <v>95</v>
      </c>
      <c r="E110" s="52">
        <f t="shared" si="117"/>
        <v>92.5</v>
      </c>
      <c r="F110" s="94">
        <f t="shared" si="118"/>
        <v>21.738135593220342</v>
      </c>
      <c r="G110" s="97"/>
      <c r="H110" s="99"/>
      <c r="I110" s="94" t="str">
        <f t="shared" si="119"/>
        <v/>
      </c>
      <c r="J110" s="92" t="s">
        <v>17</v>
      </c>
      <c r="K110" s="77">
        <f t="shared" si="3"/>
        <v>21.738135593220342</v>
      </c>
      <c r="M110" s="77">
        <f t="shared" si="146"/>
        <v>21.738135593220342</v>
      </c>
    </row>
    <row r="111" spans="1:13" x14ac:dyDescent="0.25">
      <c r="A111" s="78" t="s">
        <v>336</v>
      </c>
      <c r="B111" s="88" t="s">
        <v>317</v>
      </c>
      <c r="C111" s="91">
        <v>80</v>
      </c>
      <c r="D111" s="74">
        <v>80</v>
      </c>
      <c r="E111" s="52">
        <f t="shared" ref="E111" si="160">IF(NOT(ISBLANK(D111)),(C111+D111)/2,"")</f>
        <v>80</v>
      </c>
      <c r="F111" s="94">
        <f t="shared" ref="F111" si="161">IF(ISNUMBER(E111),(E111-69.8)*(113/118),"")</f>
        <v>9.7677966101694942</v>
      </c>
      <c r="G111" s="97"/>
      <c r="H111" s="99"/>
      <c r="I111" s="94" t="str">
        <f t="shared" ref="I111" si="162">IF(ISNUMBER(H111),(H111-69.8)*(113/118),"")</f>
        <v/>
      </c>
      <c r="J111" s="92" t="s">
        <v>17</v>
      </c>
      <c r="K111" s="77">
        <f t="shared" ref="K111" si="163">IF(AND(J111=1,ISNUMBER(E111)),E111,IF(AND(J111=2,ISNUMBER(G111)),G111,IF(AND(J111=3,ISNUMBER(I111)),I111,IF(AND(J111="Average",OR(ISNUMBER(F111),ISNUMBER(G111),ISNUMBER(I111))),AVERAGE(F111,G111,I111),""))))</f>
        <v>9.7677966101694942</v>
      </c>
      <c r="M111" s="77">
        <f t="shared" si="146"/>
        <v>9.7677966101694942</v>
      </c>
    </row>
    <row r="112" spans="1:13" x14ac:dyDescent="0.25">
      <c r="A112" s="73" t="s">
        <v>251</v>
      </c>
      <c r="B112" s="87" t="s">
        <v>252</v>
      </c>
      <c r="C112" s="91"/>
      <c r="D112" s="74"/>
      <c r="E112" s="52" t="str">
        <f t="shared" si="117"/>
        <v/>
      </c>
      <c r="F112" s="94" t="str">
        <f t="shared" si="118"/>
        <v/>
      </c>
      <c r="G112" s="97"/>
      <c r="H112" s="99">
        <v>96.588837553511695</v>
      </c>
      <c r="I112" s="94">
        <f t="shared" si="119"/>
        <v>25.653717318193404</v>
      </c>
      <c r="J112" s="92" t="s">
        <v>17</v>
      </c>
      <c r="K112" s="77">
        <f t="shared" si="3"/>
        <v>25.653717318193404</v>
      </c>
      <c r="M112" s="77">
        <f t="shared" si="146"/>
        <v>25.653717318193404</v>
      </c>
    </row>
    <row r="113" spans="1:13" x14ac:dyDescent="0.25">
      <c r="A113" s="78" t="s">
        <v>282</v>
      </c>
      <c r="B113" s="88" t="s">
        <v>376</v>
      </c>
      <c r="C113" s="91">
        <v>105</v>
      </c>
      <c r="D113" s="74">
        <v>105</v>
      </c>
      <c r="E113" s="52">
        <f t="shared" ref="E113" si="164">IF(NOT(ISBLANK(D113)),(C113+D113)/2,"")</f>
        <v>105</v>
      </c>
      <c r="F113" s="94">
        <f t="shared" ref="F113" si="165">IF(ISNUMBER(E113),(E113-69.8)*(113/118),"")</f>
        <v>33.708474576271186</v>
      </c>
      <c r="G113" s="97"/>
      <c r="H113" s="99"/>
      <c r="I113" s="94" t="str">
        <f t="shared" ref="I113" si="166">IF(ISNUMBER(H113),(H113-69.8)*(113/118),"")</f>
        <v/>
      </c>
      <c r="J113" s="92" t="s">
        <v>17</v>
      </c>
      <c r="K113" s="77">
        <f t="shared" ref="K113" si="167">IF(AND(J113=1,ISNUMBER(E113)),E113,IF(AND(J113=2,ISNUMBER(G113)),G113,IF(AND(J113=3,ISNUMBER(I113)),I113,IF(AND(J113="Average",OR(ISNUMBER(F113),ISNUMBER(G113),ISNUMBER(I113))),AVERAGE(F113,G113,I113),""))))</f>
        <v>33.708474576271186</v>
      </c>
      <c r="M113" s="77">
        <f t="shared" ref="M113" si="168">IF(ISNUMBER(L113),K113*(1-0.05*L113),K113)</f>
        <v>33.708474576271186</v>
      </c>
    </row>
    <row r="114" spans="1:13" x14ac:dyDescent="0.25">
      <c r="A114" s="78" t="s">
        <v>322</v>
      </c>
      <c r="B114" s="88" t="s">
        <v>323</v>
      </c>
      <c r="C114" s="91">
        <v>125</v>
      </c>
      <c r="D114" s="74">
        <v>125</v>
      </c>
      <c r="E114" s="52">
        <f t="shared" si="117"/>
        <v>125</v>
      </c>
      <c r="F114" s="94">
        <f t="shared" si="118"/>
        <v>52.861016949152543</v>
      </c>
      <c r="G114" s="97"/>
      <c r="H114" s="99"/>
      <c r="I114" s="94" t="str">
        <f t="shared" si="119"/>
        <v/>
      </c>
      <c r="J114" s="92" t="s">
        <v>17</v>
      </c>
      <c r="K114" s="77">
        <f t="shared" si="3"/>
        <v>52.861016949152543</v>
      </c>
      <c r="M114" s="77">
        <f t="shared" si="146"/>
        <v>52.861016949152543</v>
      </c>
    </row>
    <row r="115" spans="1:13" x14ac:dyDescent="0.25">
      <c r="A115" s="78" t="s">
        <v>381</v>
      </c>
      <c r="B115" s="88" t="s">
        <v>382</v>
      </c>
      <c r="C115" s="91"/>
      <c r="D115" s="74"/>
      <c r="E115" s="52" t="str">
        <f>IF(NOT(ISBLANK(D115)),(C115+D115)/2,"")</f>
        <v/>
      </c>
      <c r="F115" s="94" t="str">
        <f>IF(ISNUMBER(E115),(E115-69.8)*(113/118),"")</f>
        <v/>
      </c>
      <c r="G115" s="97">
        <v>22</v>
      </c>
      <c r="H115" s="99"/>
      <c r="I115" s="94" t="str">
        <f>IF(ISNUMBER(H115),(H115-69.8)*(113/118),"")</f>
        <v/>
      </c>
      <c r="J115" s="92" t="s">
        <v>17</v>
      </c>
      <c r="K115" s="77">
        <f>IF(AND(J115=1,ISNUMBER(E115)),E115,IF(AND(J115=2,ISNUMBER(G115)),G115,IF(AND(J115=3,ISNUMBER(I115)),I115,IF(AND(J115="Average",OR(ISNUMBER(F115),ISNUMBER(G115),ISNUMBER(I115))),AVERAGE(F115,G115,I115),""))))</f>
        <v>22</v>
      </c>
      <c r="M115" s="77">
        <f>IF(ISNUMBER(L115),K115*(1-0.05*L115),K115)</f>
        <v>22</v>
      </c>
    </row>
    <row r="116" spans="1:13" x14ac:dyDescent="0.25">
      <c r="A116" s="73" t="s">
        <v>208</v>
      </c>
      <c r="B116" s="87" t="s">
        <v>211</v>
      </c>
      <c r="C116" s="91">
        <v>110</v>
      </c>
      <c r="D116" s="74">
        <v>110</v>
      </c>
      <c r="E116" s="52">
        <f t="shared" si="117"/>
        <v>110</v>
      </c>
      <c r="F116" s="94">
        <f t="shared" si="118"/>
        <v>38.496610169491525</v>
      </c>
      <c r="G116" s="97"/>
      <c r="H116" s="99">
        <v>104.343826167686</v>
      </c>
      <c r="I116" s="94">
        <f t="shared" si="119"/>
        <v>33.0801047199027</v>
      </c>
      <c r="J116" s="92" t="s">
        <v>17</v>
      </c>
      <c r="K116" s="77">
        <f t="shared" si="3"/>
        <v>35.788357444697112</v>
      </c>
      <c r="M116" s="77">
        <f t="shared" si="146"/>
        <v>35.788357444697112</v>
      </c>
    </row>
  </sheetData>
  <autoFilter ref="A1:M1" xr:uid="{2FBF828B-658D-4E4A-9C39-334F02505FF4}"/>
  <sortState xmlns:xlrd2="http://schemas.microsoft.com/office/spreadsheetml/2017/richdata2" ref="A2:P118">
    <sortCondition ref="B2:B118"/>
    <sortCondition ref="A2:A118"/>
  </sortState>
  <dataValidations count="1">
    <dataValidation type="list" allowBlank="1" showInputMessage="1" showErrorMessage="1" sqref="J2:J116" xr:uid="{13F090F8-1885-4077-BFD2-C7A9981381BE}">
      <formula1>"1,2,3,Average"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ADC09-38B3-4D90-B306-B24F50483783}">
  <sheetPr codeName="Sheet1"/>
  <dimension ref="A1:D22"/>
  <sheetViews>
    <sheetView workbookViewId="0">
      <selection activeCell="D27" sqref="D27"/>
    </sheetView>
  </sheetViews>
  <sheetFormatPr defaultRowHeight="15" x14ac:dyDescent="0.25"/>
  <cols>
    <col min="1" max="1" width="8.28515625" bestFit="1" customWidth="1"/>
    <col min="2" max="2" width="16.7109375" bestFit="1" customWidth="1"/>
    <col min="3" max="3" width="17.5703125" bestFit="1" customWidth="1"/>
    <col min="4" max="4" width="17.42578125" bestFit="1" customWidth="1"/>
  </cols>
  <sheetData>
    <row r="1" spans="1:4" ht="30" x14ac:dyDescent="0.25">
      <c r="A1" s="115" t="s">
        <v>451</v>
      </c>
      <c r="B1" s="115" t="s">
        <v>264</v>
      </c>
      <c r="C1" s="115" t="s">
        <v>265</v>
      </c>
      <c r="D1" s="115" t="s">
        <v>266</v>
      </c>
    </row>
    <row r="2" spans="1:4" x14ac:dyDescent="0.25">
      <c r="A2" s="44">
        <v>1</v>
      </c>
      <c r="B2" s="44" t="s">
        <v>423</v>
      </c>
      <c r="C2" s="44" t="s">
        <v>424</v>
      </c>
      <c r="D2" s="44" t="s">
        <v>425</v>
      </c>
    </row>
    <row r="3" spans="1:4" x14ac:dyDescent="0.25">
      <c r="A3" s="44">
        <v>2</v>
      </c>
      <c r="B3" s="44" t="s">
        <v>273</v>
      </c>
      <c r="C3" s="44" t="s">
        <v>334</v>
      </c>
      <c r="D3" s="44" t="s">
        <v>383</v>
      </c>
    </row>
    <row r="4" spans="1:4" x14ac:dyDescent="0.25">
      <c r="A4" s="44">
        <v>3</v>
      </c>
      <c r="B4" s="44" t="s">
        <v>384</v>
      </c>
      <c r="C4" s="44" t="s">
        <v>335</v>
      </c>
      <c r="D4" s="44" t="s">
        <v>385</v>
      </c>
    </row>
    <row r="5" spans="1:4" x14ac:dyDescent="0.25">
      <c r="A5" s="44">
        <v>4</v>
      </c>
      <c r="B5" s="44" t="s">
        <v>341</v>
      </c>
      <c r="C5" s="44" t="s">
        <v>342</v>
      </c>
      <c r="D5" s="44" t="s">
        <v>419</v>
      </c>
    </row>
    <row r="6" spans="1:4" x14ac:dyDescent="0.25">
      <c r="A6" s="44">
        <v>5</v>
      </c>
      <c r="B6" s="44" t="s">
        <v>431</v>
      </c>
      <c r="C6" s="44" t="s">
        <v>432</v>
      </c>
      <c r="D6" s="44" t="s">
        <v>433</v>
      </c>
    </row>
    <row r="7" spans="1:4" x14ac:dyDescent="0.25">
      <c r="A7" s="44">
        <v>6</v>
      </c>
      <c r="B7" s="44" t="s">
        <v>420</v>
      </c>
      <c r="C7" s="44" t="s">
        <v>421</v>
      </c>
      <c r="D7" s="44" t="s">
        <v>422</v>
      </c>
    </row>
    <row r="8" spans="1:4" x14ac:dyDescent="0.25">
      <c r="A8" s="44">
        <v>7</v>
      </c>
      <c r="B8" s="44" t="s">
        <v>426</v>
      </c>
      <c r="C8" s="44" t="s">
        <v>427</v>
      </c>
      <c r="D8" s="44" t="s">
        <v>428</v>
      </c>
    </row>
    <row r="9" spans="1:4" x14ac:dyDescent="0.25">
      <c r="A9" s="44">
        <v>8</v>
      </c>
      <c r="B9" s="44" t="s">
        <v>275</v>
      </c>
      <c r="C9" s="44" t="s">
        <v>276</v>
      </c>
      <c r="D9" s="44" t="s">
        <v>277</v>
      </c>
    </row>
    <row r="10" spans="1:4" x14ac:dyDescent="0.25">
      <c r="A10" s="44">
        <v>9</v>
      </c>
      <c r="B10" s="44" t="s">
        <v>403</v>
      </c>
      <c r="C10" s="44" t="s">
        <v>404</v>
      </c>
      <c r="D10" s="44" t="s">
        <v>405</v>
      </c>
    </row>
    <row r="11" spans="1:4" x14ac:dyDescent="0.25">
      <c r="A11" s="44">
        <v>10</v>
      </c>
      <c r="B11" s="44" t="s">
        <v>346</v>
      </c>
      <c r="C11" s="44" t="s">
        <v>347</v>
      </c>
      <c r="D11" s="44" t="s">
        <v>348</v>
      </c>
    </row>
    <row r="12" spans="1:4" x14ac:dyDescent="0.25">
      <c r="A12" s="44">
        <v>11</v>
      </c>
      <c r="B12" s="44" t="s">
        <v>400</v>
      </c>
      <c r="C12" s="44" t="s">
        <v>345</v>
      </c>
      <c r="D12" s="44" t="s">
        <v>401</v>
      </c>
    </row>
    <row r="13" spans="1:4" x14ac:dyDescent="0.25">
      <c r="A13" s="44">
        <v>12</v>
      </c>
      <c r="B13" s="44" t="s">
        <v>284</v>
      </c>
      <c r="C13" s="44" t="s">
        <v>391</v>
      </c>
      <c r="D13" s="44" t="s">
        <v>392</v>
      </c>
    </row>
    <row r="14" spans="1:4" x14ac:dyDescent="0.25">
      <c r="A14" s="44">
        <v>13</v>
      </c>
      <c r="B14" s="44" t="s">
        <v>344</v>
      </c>
      <c r="C14" s="44" t="s">
        <v>343</v>
      </c>
      <c r="D14" s="44" t="s">
        <v>399</v>
      </c>
    </row>
    <row r="15" spans="1:4" x14ac:dyDescent="0.25">
      <c r="A15" s="44">
        <v>14</v>
      </c>
      <c r="B15" s="44" t="s">
        <v>387</v>
      </c>
      <c r="C15" s="44" t="s">
        <v>388</v>
      </c>
      <c r="D15" s="44" t="s">
        <v>389</v>
      </c>
    </row>
    <row r="16" spans="1:4" x14ac:dyDescent="0.25">
      <c r="A16" s="44">
        <v>15</v>
      </c>
      <c r="B16" s="44" t="s">
        <v>262</v>
      </c>
      <c r="C16" s="44" t="s">
        <v>263</v>
      </c>
      <c r="D16" s="44" t="s">
        <v>390</v>
      </c>
    </row>
    <row r="17" spans="1:4" x14ac:dyDescent="0.25">
      <c r="A17" s="44">
        <v>16</v>
      </c>
      <c r="B17" s="44" t="s">
        <v>279</v>
      </c>
      <c r="C17" s="44" t="s">
        <v>280</v>
      </c>
      <c r="D17" s="44" t="s">
        <v>281</v>
      </c>
    </row>
    <row r="18" spans="1:4" x14ac:dyDescent="0.25">
      <c r="A18" s="44">
        <v>17</v>
      </c>
      <c r="B18" s="44" t="s">
        <v>278</v>
      </c>
      <c r="C18" s="44" t="s">
        <v>332</v>
      </c>
      <c r="D18" s="44" t="s">
        <v>386</v>
      </c>
    </row>
    <row r="19" spans="1:4" x14ac:dyDescent="0.25">
      <c r="A19" s="44">
        <v>18</v>
      </c>
      <c r="B19" s="44" t="s">
        <v>397</v>
      </c>
      <c r="C19" s="44" t="s">
        <v>398</v>
      </c>
      <c r="D19" s="44" t="s">
        <v>338</v>
      </c>
    </row>
    <row r="20" spans="1:4" x14ac:dyDescent="0.25">
      <c r="A20" s="44">
        <v>19</v>
      </c>
      <c r="B20" s="44" t="s">
        <v>333</v>
      </c>
      <c r="C20" s="44" t="s">
        <v>395</v>
      </c>
      <c r="D20" s="44" t="s">
        <v>396</v>
      </c>
    </row>
    <row r="21" spans="1:4" x14ac:dyDescent="0.25">
      <c r="A21" s="44">
        <v>20</v>
      </c>
      <c r="B21" s="44" t="s">
        <v>393</v>
      </c>
      <c r="C21" s="44" t="s">
        <v>394</v>
      </c>
      <c r="D21" s="44" t="s">
        <v>429</v>
      </c>
    </row>
    <row r="22" spans="1:4" x14ac:dyDescent="0.25">
      <c r="A22" s="44">
        <v>21</v>
      </c>
      <c r="B22" s="44" t="s">
        <v>339</v>
      </c>
      <c r="C22" s="44" t="s">
        <v>340</v>
      </c>
      <c r="D22" s="44" t="s">
        <v>402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istoricalData"/>
  <dimension ref="A1:N687"/>
  <sheetViews>
    <sheetView showGridLines="0" workbookViewId="0">
      <pane ySplit="1" topLeftCell="A527" activePane="bottomLeft" state="frozen"/>
      <selection pane="bottomLeft" activeCell="A538" sqref="A538"/>
    </sheetView>
  </sheetViews>
  <sheetFormatPr defaultRowHeight="15" x14ac:dyDescent="0.25"/>
  <cols>
    <col min="1" max="1" width="20.7109375" style="2" customWidth="1"/>
    <col min="2" max="2" width="12.7109375" style="2" customWidth="1"/>
    <col min="3" max="3" width="8.7109375" style="2" customWidth="1"/>
    <col min="4" max="4" width="20.7109375" style="2" customWidth="1"/>
    <col min="5" max="5" width="8.7109375" style="2" customWidth="1"/>
    <col min="6" max="6" width="20.7109375" style="2" customWidth="1"/>
    <col min="7" max="7" width="8.7109375" style="2" customWidth="1"/>
    <col min="8" max="8" width="20.7109375" style="2" customWidth="1"/>
    <col min="9" max="14" width="10.7109375" style="2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A2" s="2" t="s">
        <v>14</v>
      </c>
      <c r="B2" s="4">
        <v>1906</v>
      </c>
      <c r="C2" s="4"/>
      <c r="D2" s="2" t="s">
        <v>14</v>
      </c>
      <c r="E2" s="4"/>
      <c r="F2" s="2" t="s">
        <v>15</v>
      </c>
      <c r="G2" s="4"/>
      <c r="H2" s="2" t="s">
        <v>16</v>
      </c>
      <c r="I2" s="2">
        <v>77</v>
      </c>
      <c r="J2" s="5" t="str">
        <f>IF(C2="A+",10,IF(C2="A",6.31,IF(C2="B",3.98,IF(C2="C",2.51,IF(C2="D",1.59,IF(C2="D-",1,""))))))</f>
        <v/>
      </c>
      <c r="K2" s="5" t="str">
        <f>IF(E2="A+",10,IF(E2="A",6.31,IF(E2="B",3.98,IF(E2="C",2.51,IF(E2="D",1.59,IF(E2="D-",1,""))))))</f>
        <v/>
      </c>
      <c r="L2" s="5" t="str">
        <f>IF(G2="A+",10,IF(G2="A",6.31,IF(G2="B",3.98,IF(G2="C",2.51,IF(G2="D",1.59,IF(G2="D-",1,""))))))</f>
        <v/>
      </c>
      <c r="M2" s="6" t="str">
        <f>IF(ISNUMBER(J2),J2/(J2+K2+L2),"")</f>
        <v/>
      </c>
      <c r="N2" s="7" t="str">
        <f>IF(ISNUMBER(M2),I2*(1+(1-M2)*0.475),"")</f>
        <v/>
      </c>
    </row>
    <row r="3" spans="1:14" x14ac:dyDescent="0.25">
      <c r="M3" s="3" t="s">
        <v>17</v>
      </c>
      <c r="N3" s="8" t="str">
        <f>IF(ISNUMBER(M2),AVERAGE(N2:N2),"")</f>
        <v/>
      </c>
    </row>
    <row r="4" spans="1:14" x14ac:dyDescent="0.25">
      <c r="M4" s="3" t="s">
        <v>18</v>
      </c>
      <c r="N4" s="8" t="str">
        <f>IF(ISNUMBER(N3),(N3-69.8)*(113/118),"")</f>
        <v/>
      </c>
    </row>
    <row r="6" spans="1:14" x14ac:dyDescent="0.25">
      <c r="A6" s="11" t="s">
        <v>15</v>
      </c>
      <c r="B6" s="10">
        <v>1505</v>
      </c>
      <c r="C6" s="10" t="s">
        <v>135</v>
      </c>
      <c r="D6" s="11" t="s">
        <v>15</v>
      </c>
      <c r="E6" s="10" t="s">
        <v>136</v>
      </c>
      <c r="F6" s="11" t="s">
        <v>19</v>
      </c>
      <c r="G6" s="10" t="s">
        <v>135</v>
      </c>
      <c r="H6" s="11" t="s">
        <v>20</v>
      </c>
      <c r="I6" s="11">
        <v>71</v>
      </c>
      <c r="J6" s="12">
        <f t="shared" ref="J6:J12" si="0">IF(C6="A+",10,IF(C6="A",6.31,IF(C6="B",3.98,IF(C6="C",2.51,IF(C6="D",1.59,IF(C6="D-",1,""))))))</f>
        <v>3.98</v>
      </c>
      <c r="K6" s="12">
        <f t="shared" ref="K6:K12" si="1">IF(E6="A+",10,IF(E6="A",6.31,IF(E6="B",3.98,IF(E6="C",2.51,IF(E6="D",1.59,IF(E6="D-",1,""))))))</f>
        <v>6.31</v>
      </c>
      <c r="L6" s="12">
        <f t="shared" ref="L6:L12" si="2">IF(G6="A+",10,IF(G6="A",6.31,IF(G6="B",3.98,IF(G6="C",2.51,IF(G6="D",1.59,IF(G6="D-",1,""))))))</f>
        <v>3.98</v>
      </c>
      <c r="M6" s="13">
        <f t="shared" ref="M6:M12" si="3">IF(ISNUMBER(J6),J6/(J6+K6+L6),"")</f>
        <v>0.27890679747722497</v>
      </c>
      <c r="N6" s="14">
        <f t="shared" ref="N6:N12" si="4">IF(ISNUMBER(M6),I6*(1+(1-M6)*0.475),"")</f>
        <v>95.318868255080588</v>
      </c>
    </row>
    <row r="7" spans="1:14" x14ac:dyDescent="0.25">
      <c r="A7" s="11"/>
      <c r="B7" s="10">
        <v>1508</v>
      </c>
      <c r="C7" s="10" t="s">
        <v>135</v>
      </c>
      <c r="D7" s="11" t="s">
        <v>15</v>
      </c>
      <c r="E7" s="10" t="s">
        <v>136</v>
      </c>
      <c r="F7" s="11" t="s">
        <v>21</v>
      </c>
      <c r="G7" s="10" t="s">
        <v>135</v>
      </c>
      <c r="H7" s="11" t="s">
        <v>20</v>
      </c>
      <c r="I7" s="11">
        <v>70</v>
      </c>
      <c r="J7" s="12">
        <f t="shared" si="0"/>
        <v>3.98</v>
      </c>
      <c r="K7" s="12">
        <f t="shared" si="1"/>
        <v>6.31</v>
      </c>
      <c r="L7" s="12">
        <f t="shared" si="2"/>
        <v>3.98</v>
      </c>
      <c r="M7" s="13">
        <f t="shared" si="3"/>
        <v>0.27890679747722497</v>
      </c>
      <c r="N7" s="14">
        <f t="shared" si="4"/>
        <v>93.976348983882261</v>
      </c>
    </row>
    <row r="8" spans="1:14" x14ac:dyDescent="0.25">
      <c r="A8" s="11"/>
      <c r="B8" s="10">
        <v>1608</v>
      </c>
      <c r="C8" s="10" t="s">
        <v>135</v>
      </c>
      <c r="D8" s="11" t="s">
        <v>15</v>
      </c>
      <c r="E8" s="10" t="s">
        <v>137</v>
      </c>
      <c r="F8" s="11" t="s">
        <v>16</v>
      </c>
      <c r="G8" s="10" t="s">
        <v>137</v>
      </c>
      <c r="H8" s="11" t="s">
        <v>22</v>
      </c>
      <c r="I8" s="11">
        <v>77</v>
      </c>
      <c r="J8" s="12">
        <f t="shared" si="0"/>
        <v>3.98</v>
      </c>
      <c r="K8" s="12">
        <f t="shared" si="1"/>
        <v>2.5099999999999998</v>
      </c>
      <c r="L8" s="12">
        <f t="shared" si="2"/>
        <v>2.5099999999999998</v>
      </c>
      <c r="M8" s="13">
        <f t="shared" si="3"/>
        <v>0.44222222222222224</v>
      </c>
      <c r="N8" s="14">
        <f t="shared" si="4"/>
        <v>97.400722222222214</v>
      </c>
    </row>
    <row r="9" spans="1:14" x14ac:dyDescent="0.25">
      <c r="A9" s="11"/>
      <c r="B9" s="10">
        <v>1705</v>
      </c>
      <c r="C9" s="10" t="s">
        <v>135</v>
      </c>
      <c r="D9" s="11" t="s">
        <v>15</v>
      </c>
      <c r="E9" s="10" t="s">
        <v>137</v>
      </c>
      <c r="F9" s="11" t="s">
        <v>16</v>
      </c>
      <c r="G9" s="10" t="s">
        <v>137</v>
      </c>
      <c r="H9" s="11" t="s">
        <v>22</v>
      </c>
      <c r="I9" s="11">
        <v>72</v>
      </c>
      <c r="J9" s="12">
        <f t="shared" si="0"/>
        <v>3.98</v>
      </c>
      <c r="K9" s="12">
        <f t="shared" si="1"/>
        <v>2.5099999999999998</v>
      </c>
      <c r="L9" s="12">
        <f t="shared" si="2"/>
        <v>2.5099999999999998</v>
      </c>
      <c r="M9" s="13">
        <f t="shared" si="3"/>
        <v>0.44222222222222224</v>
      </c>
      <c r="N9" s="14">
        <f t="shared" si="4"/>
        <v>91.075999999999993</v>
      </c>
    </row>
    <row r="10" spans="1:14" x14ac:dyDescent="0.25">
      <c r="A10" s="11"/>
      <c r="B10" s="10">
        <v>1805</v>
      </c>
      <c r="C10" s="10" t="s">
        <v>135</v>
      </c>
      <c r="D10" s="11" t="s">
        <v>15</v>
      </c>
      <c r="E10" s="10" t="s">
        <v>137</v>
      </c>
      <c r="F10" s="11" t="s">
        <v>16</v>
      </c>
      <c r="G10" s="10" t="s">
        <v>135</v>
      </c>
      <c r="H10" s="11" t="s">
        <v>20</v>
      </c>
      <c r="I10" s="11">
        <v>65</v>
      </c>
      <c r="J10" s="12">
        <f t="shared" si="0"/>
        <v>3.98</v>
      </c>
      <c r="K10" s="12">
        <f t="shared" si="1"/>
        <v>2.5099999999999998</v>
      </c>
      <c r="L10" s="12">
        <f t="shared" si="2"/>
        <v>3.98</v>
      </c>
      <c r="M10" s="13">
        <f t="shared" si="3"/>
        <v>0.38013371537726837</v>
      </c>
      <c r="N10" s="14">
        <f t="shared" si="4"/>
        <v>84.13837153772684</v>
      </c>
    </row>
    <row r="11" spans="1:14" x14ac:dyDescent="0.25">
      <c r="A11" s="11"/>
      <c r="B11" s="10">
        <v>1808</v>
      </c>
      <c r="C11" s="10" t="s">
        <v>135</v>
      </c>
      <c r="D11" s="11" t="s">
        <v>15</v>
      </c>
      <c r="E11" s="10" t="s">
        <v>137</v>
      </c>
      <c r="F11" s="11" t="s">
        <v>16</v>
      </c>
      <c r="G11" s="10" t="s">
        <v>135</v>
      </c>
      <c r="H11" s="11" t="s">
        <v>20</v>
      </c>
      <c r="I11" s="11">
        <v>68</v>
      </c>
      <c r="J11" s="12">
        <f t="shared" si="0"/>
        <v>3.98</v>
      </c>
      <c r="K11" s="12">
        <f t="shared" si="1"/>
        <v>2.5099999999999998</v>
      </c>
      <c r="L11" s="12">
        <f t="shared" si="2"/>
        <v>3.98</v>
      </c>
      <c r="M11" s="13">
        <f t="shared" si="3"/>
        <v>0.38013371537726837</v>
      </c>
      <c r="N11" s="14">
        <f t="shared" si="4"/>
        <v>88.02168099331422</v>
      </c>
    </row>
    <row r="12" spans="1:14" x14ac:dyDescent="0.25">
      <c r="A12" s="11"/>
      <c r="B12" s="10">
        <v>1906</v>
      </c>
      <c r="C12" s="10" t="s">
        <v>135</v>
      </c>
      <c r="D12" s="11" t="s">
        <v>15</v>
      </c>
      <c r="E12" s="10" t="s">
        <v>137</v>
      </c>
      <c r="F12" s="11" t="s">
        <v>14</v>
      </c>
      <c r="G12" s="10" t="s">
        <v>137</v>
      </c>
      <c r="H12" s="11" t="s">
        <v>16</v>
      </c>
      <c r="I12" s="11">
        <v>77</v>
      </c>
      <c r="J12" s="12">
        <f t="shared" si="0"/>
        <v>3.98</v>
      </c>
      <c r="K12" s="12">
        <f t="shared" si="1"/>
        <v>2.5099999999999998</v>
      </c>
      <c r="L12" s="12">
        <f t="shared" si="2"/>
        <v>2.5099999999999998</v>
      </c>
      <c r="M12" s="13">
        <f t="shared" si="3"/>
        <v>0.44222222222222224</v>
      </c>
      <c r="N12" s="14">
        <f t="shared" si="4"/>
        <v>97.400722222222214</v>
      </c>
    </row>
    <row r="13" spans="1:14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9" t="s">
        <v>17</v>
      </c>
      <c r="N13" s="15">
        <f>IF(ISNUMBER(M12),AVERAGE(N6:N12),"")</f>
        <v>92.476102030635474</v>
      </c>
    </row>
    <row r="14" spans="1:14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9" t="s">
        <v>18</v>
      </c>
      <c r="N14" s="15">
        <f>IF(ISNUMBER(N13),(N13-69.8)*(113/118),"")</f>
        <v>21.715250249676345</v>
      </c>
    </row>
    <row r="16" spans="1:14" x14ac:dyDescent="0.25">
      <c r="A16" s="11" t="s">
        <v>16</v>
      </c>
      <c r="B16" s="10">
        <v>1608</v>
      </c>
      <c r="C16" s="10" t="s">
        <v>137</v>
      </c>
      <c r="D16" s="11" t="s">
        <v>16</v>
      </c>
      <c r="E16" s="10" t="s">
        <v>135</v>
      </c>
      <c r="F16" s="11" t="s">
        <v>15</v>
      </c>
      <c r="G16" s="10" t="s">
        <v>137</v>
      </c>
      <c r="H16" s="11" t="s">
        <v>22</v>
      </c>
      <c r="I16" s="11">
        <v>77</v>
      </c>
      <c r="J16" s="12">
        <f>IF(C16="A+",10,IF(C16="A",6.31,IF(C16="B",3.98,IF(C16="C",2.51,IF(C16="D",1.59,IF(C16="D-",1,""))))))</f>
        <v>2.5099999999999998</v>
      </c>
      <c r="K16" s="12">
        <f>IF(E16="A+",10,IF(E16="A",6.31,IF(E16="B",3.98,IF(E16="C",2.51,IF(E16="D",1.59,IF(E16="D-",1,""))))))</f>
        <v>3.98</v>
      </c>
      <c r="L16" s="12">
        <f>IF(G16="A+",10,IF(G16="A",6.31,IF(G16="B",3.98,IF(G16="C",2.51,IF(G16="D",1.59,IF(G16="D-",1,""))))))</f>
        <v>2.5099999999999998</v>
      </c>
      <c r="M16" s="13">
        <f>IF(ISNUMBER(J16),J16/(J16+K16+L16),"")</f>
        <v>0.27888888888888885</v>
      </c>
      <c r="N16" s="14">
        <f>IF(ISNUMBER(M16),I16*(1+(1-M16)*0.475),"")</f>
        <v>103.37463888888888</v>
      </c>
    </row>
    <row r="17" spans="1:14" x14ac:dyDescent="0.25">
      <c r="A17" s="11"/>
      <c r="B17" s="10">
        <v>1705</v>
      </c>
      <c r="C17" s="10" t="s">
        <v>137</v>
      </c>
      <c r="D17" s="11" t="s">
        <v>16</v>
      </c>
      <c r="E17" s="10" t="s">
        <v>135</v>
      </c>
      <c r="F17" s="11" t="s">
        <v>15</v>
      </c>
      <c r="G17" s="10" t="s">
        <v>137</v>
      </c>
      <c r="H17" s="11" t="s">
        <v>22</v>
      </c>
      <c r="I17" s="11">
        <v>72</v>
      </c>
      <c r="J17" s="12">
        <f>IF(C17="A+",10,IF(C17="A",6.31,IF(C17="B",3.98,IF(C17="C",2.51,IF(C17="D",1.59,IF(C17="D-",1,""))))))</f>
        <v>2.5099999999999998</v>
      </c>
      <c r="K17" s="12">
        <f>IF(E17="A+",10,IF(E17="A",6.31,IF(E17="B",3.98,IF(E17="C",2.51,IF(E17="D",1.59,IF(E17="D-",1,""))))))</f>
        <v>3.98</v>
      </c>
      <c r="L17" s="12">
        <f>IF(G17="A+",10,IF(G17="A",6.31,IF(G17="B",3.98,IF(G17="C",2.51,IF(G17="D",1.59,IF(G17="D-",1,""))))))</f>
        <v>2.5099999999999998</v>
      </c>
      <c r="M17" s="13">
        <f>IF(ISNUMBER(J17),J17/(J17+K17+L17),"")</f>
        <v>0.27888888888888885</v>
      </c>
      <c r="N17" s="14">
        <f>IF(ISNUMBER(M17),I17*(1+(1-M17)*0.475),"")</f>
        <v>96.662000000000006</v>
      </c>
    </row>
    <row r="18" spans="1:14" x14ac:dyDescent="0.25">
      <c r="A18" s="11"/>
      <c r="B18" s="10">
        <v>1805</v>
      </c>
      <c r="C18" s="10" t="s">
        <v>137</v>
      </c>
      <c r="D18" s="11" t="s">
        <v>16</v>
      </c>
      <c r="E18" s="10" t="s">
        <v>135</v>
      </c>
      <c r="F18" s="11" t="s">
        <v>15</v>
      </c>
      <c r="G18" s="10" t="s">
        <v>135</v>
      </c>
      <c r="H18" s="11" t="s">
        <v>20</v>
      </c>
      <c r="I18" s="11">
        <v>65</v>
      </c>
      <c r="J18" s="12">
        <f>IF(C18="A+",10,IF(C18="A",6.31,IF(C18="B",3.98,IF(C18="C",2.51,IF(C18="D",1.59,IF(C18="D-",1,""))))))</f>
        <v>2.5099999999999998</v>
      </c>
      <c r="K18" s="12">
        <f>IF(E18="A+",10,IF(E18="A",6.31,IF(E18="B",3.98,IF(E18="C",2.51,IF(E18="D",1.59,IF(E18="D-",1,""))))))</f>
        <v>3.98</v>
      </c>
      <c r="L18" s="12">
        <f>IF(G18="A+",10,IF(G18="A",6.31,IF(G18="B",3.98,IF(G18="C",2.51,IF(G18="D",1.59,IF(G18="D-",1,""))))))</f>
        <v>3.98</v>
      </c>
      <c r="M18" s="13">
        <f>IF(ISNUMBER(J18),J18/(J18+K18+L18),"")</f>
        <v>0.23973256924546318</v>
      </c>
      <c r="N18" s="14">
        <f>IF(ISNUMBER(M18),I18*(1+(1-M18)*0.475),"")</f>
        <v>88.473256924546334</v>
      </c>
    </row>
    <row r="19" spans="1:14" x14ac:dyDescent="0.25">
      <c r="A19" s="11"/>
      <c r="B19" s="10">
        <v>1808</v>
      </c>
      <c r="C19" s="10" t="s">
        <v>137</v>
      </c>
      <c r="D19" s="11" t="s">
        <v>16</v>
      </c>
      <c r="E19" s="10" t="s">
        <v>135</v>
      </c>
      <c r="F19" s="11" t="s">
        <v>15</v>
      </c>
      <c r="G19" s="10" t="s">
        <v>135</v>
      </c>
      <c r="H19" s="11" t="s">
        <v>20</v>
      </c>
      <c r="I19" s="11">
        <v>68</v>
      </c>
      <c r="J19" s="12">
        <f>IF(C19="A+",10,IF(C19="A",6.31,IF(C19="B",3.98,IF(C19="C",2.51,IF(C19="D",1.59,IF(C19="D-",1,""))))))</f>
        <v>2.5099999999999998</v>
      </c>
      <c r="K19" s="12">
        <f>IF(E19="A+",10,IF(E19="A",6.31,IF(E19="B",3.98,IF(E19="C",2.51,IF(E19="D",1.59,IF(E19="D-",1,""))))))</f>
        <v>3.98</v>
      </c>
      <c r="L19" s="12">
        <f>IF(G19="A+",10,IF(G19="A",6.31,IF(G19="B",3.98,IF(G19="C",2.51,IF(G19="D",1.59,IF(G19="D-",1,""))))))</f>
        <v>3.98</v>
      </c>
      <c r="M19" s="13">
        <f>IF(ISNUMBER(J19),J19/(J19+K19+L19),"")</f>
        <v>0.23973256924546318</v>
      </c>
      <c r="N19" s="14">
        <f>IF(ISNUMBER(M19),I19*(1+(1-M19)*0.475),"")</f>
        <v>92.55663801337154</v>
      </c>
    </row>
    <row r="20" spans="1:14" x14ac:dyDescent="0.25">
      <c r="A20" s="11"/>
      <c r="B20" s="10">
        <v>1906</v>
      </c>
      <c r="C20" s="10" t="s">
        <v>137</v>
      </c>
      <c r="D20" s="11" t="s">
        <v>16</v>
      </c>
      <c r="E20" s="10" t="s">
        <v>139</v>
      </c>
      <c r="F20" s="11" t="s">
        <v>14</v>
      </c>
      <c r="G20" s="10" t="s">
        <v>135</v>
      </c>
      <c r="H20" s="11" t="s">
        <v>15</v>
      </c>
      <c r="I20" s="11">
        <v>77</v>
      </c>
      <c r="J20" s="12">
        <f>IF(C20="A+",10,IF(C20="A",6.31,IF(C20="B",3.98,IF(C20="C",2.51,IF(C20="D",1.59,IF(C20="D-",1,""))))))</f>
        <v>2.5099999999999998</v>
      </c>
      <c r="K20" s="12">
        <f>IF(E20="A+",10,IF(E20="A",6.31,IF(E20="B",3.98,IF(E20="C",2.51,IF(E20="D",1.59,IF(E20="D-",1,""))))))</f>
        <v>1</v>
      </c>
      <c r="L20" s="12">
        <f>IF(G20="A+",10,IF(G20="A",6.31,IF(G20="B",3.98,IF(G20="C",2.51,IF(G20="D",1.59,IF(G20="D-",1,""))))))</f>
        <v>3.98</v>
      </c>
      <c r="M20" s="13">
        <f>IF(ISNUMBER(J20),J20/(J20+K20+L20),"")</f>
        <v>0.33511348464619489</v>
      </c>
      <c r="N20" s="14">
        <f>IF(ISNUMBER(M20),I20*(1+(1-M20)*0.475),"")</f>
        <v>101.31822429906541</v>
      </c>
    </row>
    <row r="21" spans="1:14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 t="s">
        <v>17</v>
      </c>
      <c r="N21" s="15">
        <f>IF(ISNUMBER(M20),AVERAGE(N16:N20),"")</f>
        <v>96.476951625174436</v>
      </c>
    </row>
    <row r="22" spans="1:14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9" t="s">
        <v>18</v>
      </c>
      <c r="N22" s="15">
        <f>IF(ISNUMBER(N21),(N21-69.8)*(113/118),"")</f>
        <v>25.546572319022982</v>
      </c>
    </row>
    <row r="24" spans="1:14" x14ac:dyDescent="0.25">
      <c r="A24" s="11" t="s">
        <v>23</v>
      </c>
      <c r="B24" s="10">
        <v>1505</v>
      </c>
      <c r="C24" s="10" t="s">
        <v>139</v>
      </c>
      <c r="D24" s="11" t="s">
        <v>23</v>
      </c>
      <c r="E24" s="10" t="s">
        <v>136</v>
      </c>
      <c r="F24" s="11" t="s">
        <v>24</v>
      </c>
      <c r="G24" s="10" t="s">
        <v>135</v>
      </c>
      <c r="H24" s="11" t="s">
        <v>25</v>
      </c>
      <c r="I24" s="11">
        <v>69</v>
      </c>
      <c r="J24" s="12">
        <f>IF(C24="A+",10,IF(C24="A",6.31,IF(C24="B",3.98,IF(C24="C",2.51,IF(C24="D",1.59,IF(C24="D-",1,""))))))</f>
        <v>1</v>
      </c>
      <c r="K24" s="12">
        <f>IF(E24="A+",10,IF(E24="A",6.31,IF(E24="B",3.98,IF(E24="C",2.51,IF(E24="D",1.59,IF(E24="D-",1,""))))))</f>
        <v>6.31</v>
      </c>
      <c r="L24" s="12">
        <f>IF(G24="A+",10,IF(G24="A",6.31,IF(G24="B",3.98,IF(G24="C",2.51,IF(G24="D",1.59,IF(G24="D-",1,""))))))</f>
        <v>3.98</v>
      </c>
      <c r="M24" s="13">
        <f>IF(ISNUMBER(J24),J24/(J24+K24+L24),"")</f>
        <v>8.8573959255978746E-2</v>
      </c>
      <c r="N24" s="14">
        <f>IF(ISNUMBER(M24),I24*(1+(1-M24)*0.475),"")</f>
        <v>98.871988485385302</v>
      </c>
    </row>
    <row r="25" spans="1:14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9" t="s">
        <v>17</v>
      </c>
      <c r="N25" s="15">
        <f>IF(ISNUMBER(M24),AVERAGE(N24:N24),"")</f>
        <v>98.871988485385302</v>
      </c>
    </row>
    <row r="26" spans="1:14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9" t="s">
        <v>18</v>
      </c>
      <c r="N26" s="15">
        <f>IF(ISNUMBER(N25),(N25-69.8)*(113/118),"")</f>
        <v>27.840124566513047</v>
      </c>
    </row>
    <row r="28" spans="1:14" x14ac:dyDescent="0.25">
      <c r="A28" s="79" t="s">
        <v>26</v>
      </c>
      <c r="B28" s="80">
        <v>1505</v>
      </c>
      <c r="C28" s="80" t="s">
        <v>137</v>
      </c>
      <c r="D28" s="79" t="s">
        <v>26</v>
      </c>
      <c r="E28" s="80" t="s">
        <v>135</v>
      </c>
      <c r="F28" s="79" t="s">
        <v>27</v>
      </c>
      <c r="G28" s="80" t="s">
        <v>135</v>
      </c>
      <c r="H28" s="79" t="s">
        <v>28</v>
      </c>
      <c r="I28" s="79">
        <v>79</v>
      </c>
      <c r="J28" s="81">
        <f t="shared" ref="J28:J33" si="5">IF(C28="A+",10,IF(C28="A",6.31,IF(C28="B",3.98,IF(C28="C",2.51,IF(C28="D",1.59,IF(C28="D-",1,""))))))</f>
        <v>2.5099999999999998</v>
      </c>
      <c r="K28" s="81">
        <f t="shared" ref="K28:K33" si="6">IF(E28="A+",10,IF(E28="A",6.31,IF(E28="B",3.98,IF(E28="C",2.51,IF(E28="D",1.59,IF(E28="D-",1,""))))))</f>
        <v>3.98</v>
      </c>
      <c r="L28" s="81">
        <f t="shared" ref="L28:L33" si="7">IF(G28="A+",10,IF(G28="A",6.31,IF(G28="B",3.98,IF(G28="C",2.51,IF(G28="D",1.59,IF(G28="D-",1,""))))))</f>
        <v>3.98</v>
      </c>
      <c r="M28" s="82">
        <f t="shared" ref="M28:M33" si="8">IF(ISNUMBER(J28),J28/(J28+K28+L28),"")</f>
        <v>0.23973256924546318</v>
      </c>
      <c r="N28" s="83">
        <f t="shared" ref="N28:N33" si="9">IF(ISNUMBER(M28),I28*(1+(1-M28)*0.475),"")</f>
        <v>107.529035339064</v>
      </c>
    </row>
    <row r="29" spans="1:14" x14ac:dyDescent="0.25">
      <c r="A29" s="79"/>
      <c r="B29" s="80">
        <v>1508</v>
      </c>
      <c r="C29" s="80" t="s">
        <v>137</v>
      </c>
      <c r="D29" s="79" t="s">
        <v>26</v>
      </c>
      <c r="E29" s="80" t="s">
        <v>137</v>
      </c>
      <c r="F29" s="79" t="s">
        <v>28</v>
      </c>
      <c r="G29" s="80" t="s">
        <v>137</v>
      </c>
      <c r="H29" s="79" t="s">
        <v>29</v>
      </c>
      <c r="I29" s="79">
        <v>69</v>
      </c>
      <c r="J29" s="81">
        <f t="shared" si="5"/>
        <v>2.5099999999999998</v>
      </c>
      <c r="K29" s="81">
        <f t="shared" si="6"/>
        <v>2.5099999999999998</v>
      </c>
      <c r="L29" s="81">
        <f t="shared" si="7"/>
        <v>2.5099999999999998</v>
      </c>
      <c r="M29" s="82">
        <f t="shared" si="8"/>
        <v>0.33333333333333331</v>
      </c>
      <c r="N29" s="83">
        <f t="shared" si="9"/>
        <v>90.85</v>
      </c>
    </row>
    <row r="30" spans="1:14" x14ac:dyDescent="0.25">
      <c r="A30" s="79"/>
      <c r="B30" s="80">
        <v>1608</v>
      </c>
      <c r="C30" s="80" t="s">
        <v>137</v>
      </c>
      <c r="D30" s="79" t="s">
        <v>26</v>
      </c>
      <c r="E30" s="80" t="s">
        <v>137</v>
      </c>
      <c r="F30" s="79" t="s">
        <v>28</v>
      </c>
      <c r="G30" s="80" t="s">
        <v>137</v>
      </c>
      <c r="H30" s="79" t="s">
        <v>29</v>
      </c>
      <c r="I30" s="79">
        <v>71</v>
      </c>
      <c r="J30" s="81">
        <f t="shared" si="5"/>
        <v>2.5099999999999998</v>
      </c>
      <c r="K30" s="81">
        <f t="shared" si="6"/>
        <v>2.5099999999999998</v>
      </c>
      <c r="L30" s="81">
        <f t="shared" si="7"/>
        <v>2.5099999999999998</v>
      </c>
      <c r="M30" s="82">
        <f t="shared" si="8"/>
        <v>0.33333333333333331</v>
      </c>
      <c r="N30" s="83">
        <f t="shared" si="9"/>
        <v>93.483333333333334</v>
      </c>
    </row>
    <row r="31" spans="1:14" x14ac:dyDescent="0.25">
      <c r="A31" s="79"/>
      <c r="B31" s="80">
        <v>1705</v>
      </c>
      <c r="C31" s="80" t="s">
        <v>137</v>
      </c>
      <c r="D31" s="79" t="s">
        <v>26</v>
      </c>
      <c r="E31" s="80" t="s">
        <v>137</v>
      </c>
      <c r="F31" s="79" t="s">
        <v>28</v>
      </c>
      <c r="G31" s="80" t="s">
        <v>137</v>
      </c>
      <c r="H31" s="79" t="s">
        <v>29</v>
      </c>
      <c r="I31" s="79">
        <v>70</v>
      </c>
      <c r="J31" s="81">
        <f t="shared" si="5"/>
        <v>2.5099999999999998</v>
      </c>
      <c r="K31" s="81">
        <f t="shared" si="6"/>
        <v>2.5099999999999998</v>
      </c>
      <c r="L31" s="81">
        <f t="shared" si="7"/>
        <v>2.5099999999999998</v>
      </c>
      <c r="M31" s="82">
        <f t="shared" si="8"/>
        <v>0.33333333333333331</v>
      </c>
      <c r="N31" s="83">
        <f t="shared" si="9"/>
        <v>92.166666666666671</v>
      </c>
    </row>
    <row r="32" spans="1:14" x14ac:dyDescent="0.25">
      <c r="A32" s="79"/>
      <c r="B32" s="80">
        <v>1805</v>
      </c>
      <c r="C32" s="80" t="s">
        <v>137</v>
      </c>
      <c r="D32" s="79" t="s">
        <v>26</v>
      </c>
      <c r="E32" s="80" t="s">
        <v>137</v>
      </c>
      <c r="F32" s="79" t="s">
        <v>28</v>
      </c>
      <c r="G32" s="80" t="s">
        <v>137</v>
      </c>
      <c r="H32" s="79" t="s">
        <v>30</v>
      </c>
      <c r="I32" s="79">
        <v>72</v>
      </c>
      <c r="J32" s="81">
        <f t="shared" si="5"/>
        <v>2.5099999999999998</v>
      </c>
      <c r="K32" s="81">
        <f t="shared" si="6"/>
        <v>2.5099999999999998</v>
      </c>
      <c r="L32" s="81">
        <f t="shared" si="7"/>
        <v>2.5099999999999998</v>
      </c>
      <c r="M32" s="82">
        <f t="shared" si="8"/>
        <v>0.33333333333333331</v>
      </c>
      <c r="N32" s="83">
        <f t="shared" si="9"/>
        <v>94.8</v>
      </c>
    </row>
    <row r="33" spans="1:14" x14ac:dyDescent="0.25">
      <c r="A33" s="79"/>
      <c r="B33" s="80">
        <v>1808</v>
      </c>
      <c r="C33" s="80" t="s">
        <v>137</v>
      </c>
      <c r="D33" s="79" t="s">
        <v>26</v>
      </c>
      <c r="E33" s="80" t="s">
        <v>137</v>
      </c>
      <c r="F33" s="79" t="s">
        <v>28</v>
      </c>
      <c r="G33" s="80" t="s">
        <v>137</v>
      </c>
      <c r="H33" s="79" t="s">
        <v>29</v>
      </c>
      <c r="I33" s="79">
        <v>73</v>
      </c>
      <c r="J33" s="81">
        <f t="shared" si="5"/>
        <v>2.5099999999999998</v>
      </c>
      <c r="K33" s="81">
        <f t="shared" si="6"/>
        <v>2.5099999999999998</v>
      </c>
      <c r="L33" s="81">
        <f t="shared" si="7"/>
        <v>2.5099999999999998</v>
      </c>
      <c r="M33" s="82">
        <f t="shared" si="8"/>
        <v>0.33333333333333331</v>
      </c>
      <c r="N33" s="83">
        <f t="shared" si="9"/>
        <v>96.11666666666666</v>
      </c>
    </row>
    <row r="34" spans="1:14" x14ac:dyDescent="0.2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84" t="s">
        <v>17</v>
      </c>
      <c r="N34" s="85">
        <f>IF(ISNUMBER(M33),AVERAGE(N28:N33),"")</f>
        <v>95.824283667621785</v>
      </c>
    </row>
    <row r="35" spans="1:14" x14ac:dyDescent="0.2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84" t="s">
        <v>18</v>
      </c>
      <c r="N35" s="85">
        <f>IF(ISNUMBER(N34),(N34-69.8)*(113/118),"")</f>
        <v>24.921559783400525</v>
      </c>
    </row>
    <row r="37" spans="1:14" x14ac:dyDescent="0.25">
      <c r="A37" s="2" t="s">
        <v>31</v>
      </c>
      <c r="B37" s="4">
        <v>1705</v>
      </c>
      <c r="C37" s="4"/>
      <c r="D37" s="2" t="s">
        <v>31</v>
      </c>
      <c r="E37" s="4"/>
      <c r="F37" s="2" t="s">
        <v>32</v>
      </c>
      <c r="G37" s="4"/>
      <c r="H37" s="2" t="s">
        <v>33</v>
      </c>
      <c r="I37" s="2">
        <v>79</v>
      </c>
      <c r="J37" s="5" t="str">
        <f>IF(C37="A+",10,IF(C37="A",6.31,IF(C37="B",3.98,IF(C37="C",2.51,IF(C37="D",1.59,IF(C37="D-",1,""))))))</f>
        <v/>
      </c>
      <c r="K37" s="5" t="str">
        <f>IF(E37="A+",10,IF(E37="A",6.31,IF(E37="B",3.98,IF(E37="C",2.51,IF(E37="D",1.59,IF(E37="D-",1,""))))))</f>
        <v/>
      </c>
      <c r="L37" s="5" t="str">
        <f>IF(G37="A+",10,IF(G37="A",6.31,IF(G37="B",3.98,IF(G37="C",2.51,IF(G37="D",1.59,IF(G37="D-",1,""))))))</f>
        <v/>
      </c>
      <c r="M37" s="6" t="str">
        <f>IF(ISNUMBER(J37),J37/(J37+K37+L37),"")</f>
        <v/>
      </c>
      <c r="N37" s="7" t="str">
        <f>IF(ISNUMBER(M37),I37*(1+(1-M37)*0.475),"")</f>
        <v/>
      </c>
    </row>
    <row r="38" spans="1:14" x14ac:dyDescent="0.25">
      <c r="M38" s="3" t="s">
        <v>17</v>
      </c>
      <c r="N38" s="8" t="str">
        <f>IF(ISNUMBER(M37),AVERAGE(N37:N37),"")</f>
        <v/>
      </c>
    </row>
    <row r="39" spans="1:14" x14ac:dyDescent="0.25">
      <c r="M39" s="3" t="s">
        <v>18</v>
      </c>
      <c r="N39" s="8" t="str">
        <f>IF(ISNUMBER(N38),(N38-69.8)*(113/118),"")</f>
        <v/>
      </c>
    </row>
    <row r="41" spans="1:14" x14ac:dyDescent="0.25">
      <c r="A41" s="2" t="s">
        <v>34</v>
      </c>
      <c r="B41" s="4">
        <v>1505</v>
      </c>
      <c r="C41" s="4"/>
      <c r="D41" s="2" t="s">
        <v>34</v>
      </c>
      <c r="E41" s="4"/>
      <c r="F41" s="2" t="s">
        <v>35</v>
      </c>
      <c r="G41" s="4"/>
      <c r="H41" s="2" t="s">
        <v>36</v>
      </c>
      <c r="I41" s="2">
        <v>92</v>
      </c>
      <c r="J41" s="5" t="str">
        <f>IF(C41="A+",10,IF(C41="A",6.31,IF(C41="B",3.98,IF(C41="C",2.51,IF(C41="D",1.59,IF(C41="D-",1,""))))))</f>
        <v/>
      </c>
      <c r="K41" s="5" t="str">
        <f>IF(E41="A+",10,IF(E41="A",6.31,IF(E41="B",3.98,IF(E41="C",2.51,IF(E41="D",1.59,IF(E41="D-",1,""))))))</f>
        <v/>
      </c>
      <c r="L41" s="5" t="str">
        <f>IF(G41="A+",10,IF(G41="A",6.31,IF(G41="B",3.98,IF(G41="C",2.51,IF(G41="D",1.59,IF(G41="D-",1,""))))))</f>
        <v/>
      </c>
      <c r="M41" s="6" t="str">
        <f>IF(ISNUMBER(J41),J41/(J41+K41+L41),"")</f>
        <v/>
      </c>
      <c r="N41" s="7" t="str">
        <f>IF(ISNUMBER(M41),I41*(1+(1-M41)*0.475),"")</f>
        <v/>
      </c>
    </row>
    <row r="42" spans="1:14" x14ac:dyDescent="0.25">
      <c r="B42" s="4">
        <v>1608</v>
      </c>
      <c r="C42" s="4"/>
      <c r="D42" s="2" t="s">
        <v>34</v>
      </c>
      <c r="E42" s="4"/>
      <c r="F42" s="2" t="s">
        <v>35</v>
      </c>
      <c r="G42" s="4"/>
      <c r="H42" s="2" t="s">
        <v>37</v>
      </c>
      <c r="I42" s="2">
        <v>68</v>
      </c>
      <c r="J42" s="5" t="str">
        <f>IF(C42="A+",10,IF(C42="A",6.31,IF(C42="B",3.98,IF(C42="C",2.51,IF(C42="D",1.59,IF(C42="D-",1,""))))))</f>
        <v/>
      </c>
      <c r="K42" s="5" t="str">
        <f>IF(E42="A+",10,IF(E42="A",6.31,IF(E42="B",3.98,IF(E42="C",2.51,IF(E42="D",1.59,IF(E42="D-",1,""))))))</f>
        <v/>
      </c>
      <c r="L42" s="5" t="str">
        <f>IF(G42="A+",10,IF(G42="A",6.31,IF(G42="B",3.98,IF(G42="C",2.51,IF(G42="D",1.59,IF(G42="D-",1,""))))))</f>
        <v/>
      </c>
      <c r="M42" s="6" t="str">
        <f>IF(ISNUMBER(J42),J42/(J42+K42+L42),"")</f>
        <v/>
      </c>
      <c r="N42" s="7" t="str">
        <f>IF(ISNUMBER(M42),I42*(1+(1-M42)*0.475),"")</f>
        <v/>
      </c>
    </row>
    <row r="43" spans="1:14" x14ac:dyDescent="0.25">
      <c r="B43" s="4">
        <v>1808</v>
      </c>
      <c r="C43" s="4"/>
      <c r="D43" s="2" t="s">
        <v>34</v>
      </c>
      <c r="E43" s="4"/>
      <c r="F43" s="2" t="s">
        <v>35</v>
      </c>
      <c r="G43" s="4"/>
      <c r="H43" s="2" t="s">
        <v>38</v>
      </c>
      <c r="I43" s="2">
        <v>74</v>
      </c>
      <c r="J43" s="5" t="str">
        <f>IF(C43="A+",10,IF(C43="A",6.31,IF(C43="B",3.98,IF(C43="C",2.51,IF(C43="D",1.59,IF(C43="D-",1,""))))))</f>
        <v/>
      </c>
      <c r="K43" s="5" t="str">
        <f>IF(E43="A+",10,IF(E43="A",6.31,IF(E43="B",3.98,IF(E43="C",2.51,IF(E43="D",1.59,IF(E43="D-",1,""))))))</f>
        <v/>
      </c>
      <c r="L43" s="5" t="str">
        <f>IF(G43="A+",10,IF(G43="A",6.31,IF(G43="B",3.98,IF(G43="C",2.51,IF(G43="D",1.59,IF(G43="D-",1,""))))))</f>
        <v/>
      </c>
      <c r="M43" s="6" t="str">
        <f>IF(ISNUMBER(J43),J43/(J43+K43+L43),"")</f>
        <v/>
      </c>
      <c r="N43" s="7" t="str">
        <f>IF(ISNUMBER(M43),I43*(1+(1-M43)*0.475),"")</f>
        <v/>
      </c>
    </row>
    <row r="44" spans="1:14" x14ac:dyDescent="0.25">
      <c r="M44" s="3" t="s">
        <v>17</v>
      </c>
      <c r="N44" s="8" t="str">
        <f>IF(ISNUMBER(M43),AVERAGE(N41:N43),"")</f>
        <v/>
      </c>
    </row>
    <row r="45" spans="1:14" x14ac:dyDescent="0.25">
      <c r="M45" s="3" t="s">
        <v>18</v>
      </c>
      <c r="N45" s="8" t="str">
        <f>IF(ISNUMBER(N44),(N44-69.8)*(113/118),"")</f>
        <v/>
      </c>
    </row>
    <row r="47" spans="1:14" x14ac:dyDescent="0.25">
      <c r="A47" s="2" t="s">
        <v>32</v>
      </c>
      <c r="B47" s="4">
        <v>1705</v>
      </c>
      <c r="C47" s="4"/>
      <c r="D47" s="2" t="s">
        <v>32</v>
      </c>
      <c r="E47" s="4"/>
      <c r="F47" s="2" t="s">
        <v>31</v>
      </c>
      <c r="G47" s="4"/>
      <c r="H47" s="2" t="s">
        <v>33</v>
      </c>
      <c r="I47" s="2">
        <v>79</v>
      </c>
      <c r="J47" s="5" t="str">
        <f>IF(C47="A+",10,IF(C47="A",6.31,IF(C47="B",3.98,IF(C47="C",2.51,IF(C47="D",1.59,IF(C47="D-",1,""))))))</f>
        <v/>
      </c>
      <c r="K47" s="5" t="str">
        <f>IF(E47="A+",10,IF(E47="A",6.31,IF(E47="B",3.98,IF(E47="C",2.51,IF(E47="D",1.59,IF(E47="D-",1,""))))))</f>
        <v/>
      </c>
      <c r="L47" s="5" t="str">
        <f>IF(G47="A+",10,IF(G47="A",6.31,IF(G47="B",3.98,IF(G47="C",2.51,IF(G47="D",1.59,IF(G47="D-",1,""))))))</f>
        <v/>
      </c>
      <c r="M47" s="6" t="str">
        <f>IF(ISNUMBER(J47),J47/(J47+K47+L47),"")</f>
        <v/>
      </c>
      <c r="N47" s="7" t="str">
        <f>IF(ISNUMBER(M47),I47*(1+(1-M47)*0.475),"")</f>
        <v/>
      </c>
    </row>
    <row r="48" spans="1:14" x14ac:dyDescent="0.25">
      <c r="M48" s="3" t="s">
        <v>17</v>
      </c>
      <c r="N48" s="8" t="str">
        <f>IF(ISNUMBER(M47),AVERAGE(N47:N47),"")</f>
        <v/>
      </c>
    </row>
    <row r="49" spans="1:14" x14ac:dyDescent="0.25">
      <c r="M49" s="3" t="s">
        <v>18</v>
      </c>
      <c r="N49" s="8" t="str">
        <f>IF(ISNUMBER(N48),(N48-69.8)*(113/118),"")</f>
        <v/>
      </c>
    </row>
    <row r="51" spans="1:14" x14ac:dyDescent="0.25">
      <c r="A51" s="2" t="s">
        <v>39</v>
      </c>
      <c r="B51" s="4">
        <v>1608</v>
      </c>
      <c r="C51" s="4"/>
      <c r="D51" s="2" t="s">
        <v>39</v>
      </c>
      <c r="E51" s="4"/>
      <c r="F51" s="2" t="s">
        <v>40</v>
      </c>
      <c r="G51" s="4"/>
      <c r="H51" s="2" t="s">
        <v>41</v>
      </c>
      <c r="I51" s="2">
        <v>64</v>
      </c>
      <c r="J51" s="5" t="str">
        <f>IF(C51="A+",10,IF(C51="A",6.31,IF(C51="B",3.98,IF(C51="C",2.51,IF(C51="D",1.59,IF(C51="D-",1,""))))))</f>
        <v/>
      </c>
      <c r="K51" s="5" t="str">
        <f>IF(E51="A+",10,IF(E51="A",6.31,IF(E51="B",3.98,IF(E51="C",2.51,IF(E51="D",1.59,IF(E51="D-",1,""))))))</f>
        <v/>
      </c>
      <c r="L51" s="5" t="str">
        <f>IF(G51="A+",10,IF(G51="A",6.31,IF(G51="B",3.98,IF(G51="C",2.51,IF(G51="D",1.59,IF(G51="D-",1,""))))))</f>
        <v/>
      </c>
      <c r="M51" s="6" t="str">
        <f>IF(ISNUMBER(J51),J51/(J51+K51+L51),"")</f>
        <v/>
      </c>
      <c r="N51" s="7" t="str">
        <f>IF(ISNUMBER(M51),I51*(1+(1-M51)*0.475),"")</f>
        <v/>
      </c>
    </row>
    <row r="52" spans="1:14" x14ac:dyDescent="0.25">
      <c r="M52" s="3" t="s">
        <v>17</v>
      </c>
      <c r="N52" s="8" t="str">
        <f>IF(ISNUMBER(M51),AVERAGE(N51:N51),"")</f>
        <v/>
      </c>
    </row>
    <row r="53" spans="1:14" x14ac:dyDescent="0.25">
      <c r="M53" s="3" t="s">
        <v>18</v>
      </c>
      <c r="N53" s="8" t="str">
        <f>IF(ISNUMBER(N52),(N52-69.8)*(113/118),"")</f>
        <v/>
      </c>
    </row>
    <row r="55" spans="1:14" x14ac:dyDescent="0.25">
      <c r="A55" s="2" t="s">
        <v>35</v>
      </c>
      <c r="B55" s="4">
        <v>1505</v>
      </c>
      <c r="C55" s="4"/>
      <c r="D55" s="2" t="s">
        <v>35</v>
      </c>
      <c r="E55" s="4"/>
      <c r="F55" s="2" t="s">
        <v>34</v>
      </c>
      <c r="G55" s="4"/>
      <c r="H55" s="2" t="s">
        <v>36</v>
      </c>
      <c r="I55" s="2">
        <v>92</v>
      </c>
      <c r="J55" s="5" t="str">
        <f>IF(C55="A+",10,IF(C55="A",6.31,IF(C55="B",3.98,IF(C55="C",2.51,IF(C55="D",1.59,IF(C55="D-",1,""))))))</f>
        <v/>
      </c>
      <c r="K55" s="5" t="str">
        <f>IF(E55="A+",10,IF(E55="A",6.31,IF(E55="B",3.98,IF(E55="C",2.51,IF(E55="D",1.59,IF(E55="D-",1,""))))))</f>
        <v/>
      </c>
      <c r="L55" s="5" t="str">
        <f>IF(G55="A+",10,IF(G55="A",6.31,IF(G55="B",3.98,IF(G55="C",2.51,IF(G55="D",1.59,IF(G55="D-",1,""))))))</f>
        <v/>
      </c>
      <c r="M55" s="6" t="str">
        <f>IF(ISNUMBER(J55),J55/(J55+K55+L55),"")</f>
        <v/>
      </c>
      <c r="N55" s="7" t="str">
        <f>IF(ISNUMBER(M55),I55*(1+(1-M55)*0.475),"")</f>
        <v/>
      </c>
    </row>
    <row r="56" spans="1:14" x14ac:dyDescent="0.25">
      <c r="B56" s="4">
        <v>1608</v>
      </c>
      <c r="C56" s="4"/>
      <c r="D56" s="2" t="s">
        <v>35</v>
      </c>
      <c r="E56" s="4"/>
      <c r="F56" s="2" t="s">
        <v>34</v>
      </c>
      <c r="G56" s="4"/>
      <c r="H56" s="2" t="s">
        <v>37</v>
      </c>
      <c r="I56" s="2">
        <v>68</v>
      </c>
      <c r="J56" s="5" t="str">
        <f>IF(C56="A+",10,IF(C56="A",6.31,IF(C56="B",3.98,IF(C56="C",2.51,IF(C56="D",1.59,IF(C56="D-",1,""))))))</f>
        <v/>
      </c>
      <c r="K56" s="5" t="str">
        <f>IF(E56="A+",10,IF(E56="A",6.31,IF(E56="B",3.98,IF(E56="C",2.51,IF(E56="D",1.59,IF(E56="D-",1,""))))))</f>
        <v/>
      </c>
      <c r="L56" s="5" t="str">
        <f>IF(G56="A+",10,IF(G56="A",6.31,IF(G56="B",3.98,IF(G56="C",2.51,IF(G56="D",1.59,IF(G56="D-",1,""))))))</f>
        <v/>
      </c>
      <c r="M56" s="6" t="str">
        <f>IF(ISNUMBER(J56),J56/(J56+K56+L56),"")</f>
        <v/>
      </c>
      <c r="N56" s="7" t="str">
        <f>IF(ISNUMBER(M56),I56*(1+(1-M56)*0.475),"")</f>
        <v/>
      </c>
    </row>
    <row r="57" spans="1:14" x14ac:dyDescent="0.25">
      <c r="B57" s="4">
        <v>1808</v>
      </c>
      <c r="C57" s="4"/>
      <c r="D57" s="2" t="s">
        <v>35</v>
      </c>
      <c r="E57" s="4"/>
      <c r="F57" s="2" t="s">
        <v>34</v>
      </c>
      <c r="G57" s="4"/>
      <c r="H57" s="2" t="s">
        <v>38</v>
      </c>
      <c r="I57" s="2">
        <v>74</v>
      </c>
      <c r="J57" s="5" t="str">
        <f>IF(C57="A+",10,IF(C57="A",6.31,IF(C57="B",3.98,IF(C57="C",2.51,IF(C57="D",1.59,IF(C57="D-",1,""))))))</f>
        <v/>
      </c>
      <c r="K57" s="5" t="str">
        <f>IF(E57="A+",10,IF(E57="A",6.31,IF(E57="B",3.98,IF(E57="C",2.51,IF(E57="D",1.59,IF(E57="D-",1,""))))))</f>
        <v/>
      </c>
      <c r="L57" s="5" t="str">
        <f>IF(G57="A+",10,IF(G57="A",6.31,IF(G57="B",3.98,IF(G57="C",2.51,IF(G57="D",1.59,IF(G57="D-",1,""))))))</f>
        <v/>
      </c>
      <c r="M57" s="6" t="str">
        <f>IF(ISNUMBER(J57),J57/(J57+K57+L57),"")</f>
        <v/>
      </c>
      <c r="N57" s="7" t="str">
        <f>IF(ISNUMBER(M57),I57*(1+(1-M57)*0.475),"")</f>
        <v/>
      </c>
    </row>
    <row r="58" spans="1:14" x14ac:dyDescent="0.25">
      <c r="M58" s="3" t="s">
        <v>17</v>
      </c>
      <c r="N58" s="8" t="str">
        <f>IF(ISNUMBER(M57),AVERAGE(N55:N57),"")</f>
        <v/>
      </c>
    </row>
    <row r="59" spans="1:14" x14ac:dyDescent="0.25">
      <c r="M59" s="3" t="s">
        <v>18</v>
      </c>
      <c r="N59" s="8" t="str">
        <f>IF(ISNUMBER(N58),(N58-69.8)*(113/118),"")</f>
        <v/>
      </c>
    </row>
    <row r="61" spans="1:14" x14ac:dyDescent="0.25">
      <c r="A61" s="79" t="s">
        <v>42</v>
      </c>
      <c r="B61" s="80">
        <v>1505</v>
      </c>
      <c r="C61" s="80" t="s">
        <v>136</v>
      </c>
      <c r="D61" s="79" t="s">
        <v>42</v>
      </c>
      <c r="E61" s="80" t="s">
        <v>136</v>
      </c>
      <c r="F61" s="79" t="s">
        <v>43</v>
      </c>
      <c r="G61" s="80" t="s">
        <v>136</v>
      </c>
      <c r="H61" s="79" t="s">
        <v>44</v>
      </c>
      <c r="I61" s="79">
        <v>58</v>
      </c>
      <c r="J61" s="81">
        <f>IF(C61="A+",10,IF(C61="A",6.31,IF(C61="B",3.98,IF(C61="C",2.51,IF(C61="D",1.59,IF(C61="D-",1,""))))))</f>
        <v>6.31</v>
      </c>
      <c r="K61" s="81">
        <f>IF(E61="A+",10,IF(E61="A",6.31,IF(E61="B",3.98,IF(E61="C",2.51,IF(E61="D",1.59,IF(E61="D-",1,""))))))</f>
        <v>6.31</v>
      </c>
      <c r="L61" s="81">
        <f>IF(G61="A+",10,IF(G61="A",6.31,IF(G61="B",3.98,IF(G61="C",2.51,IF(G61="D",1.59,IF(G61="D-",1,""))))))</f>
        <v>6.31</v>
      </c>
      <c r="M61" s="82">
        <f>IF(ISNUMBER(J61),J61/(J61+K61+L61),"")</f>
        <v>0.33333333333333331</v>
      </c>
      <c r="N61" s="83">
        <f>IF(ISNUMBER(M61),I61*(1+(1-M61)*0.475),"")</f>
        <v>76.36666666666666</v>
      </c>
    </row>
    <row r="62" spans="1:14" x14ac:dyDescent="0.25">
      <c r="A62" s="79"/>
      <c r="B62" s="80">
        <v>1705</v>
      </c>
      <c r="C62" s="80" t="s">
        <v>136</v>
      </c>
      <c r="D62" s="79" t="s">
        <v>42</v>
      </c>
      <c r="E62" s="80" t="s">
        <v>135</v>
      </c>
      <c r="F62" s="79" t="s">
        <v>45</v>
      </c>
      <c r="G62" s="80" t="s">
        <v>135</v>
      </c>
      <c r="H62" s="79" t="s">
        <v>46</v>
      </c>
      <c r="I62" s="79">
        <v>65</v>
      </c>
      <c r="J62" s="81">
        <f>IF(C62="A+",10,IF(C62="A",6.31,IF(C62="B",3.98,IF(C62="C",2.51,IF(C62="D",1.59,IF(C62="D-",1,""))))))</f>
        <v>6.31</v>
      </c>
      <c r="K62" s="81">
        <f>IF(E62="A+",10,IF(E62="A",6.31,IF(E62="B",3.98,IF(E62="C",2.51,IF(E62="D",1.59,IF(E62="D-",1,""))))))</f>
        <v>3.98</v>
      </c>
      <c r="L62" s="81">
        <f>IF(G62="A+",10,IF(G62="A",6.31,IF(G62="B",3.98,IF(G62="C",2.51,IF(G62="D",1.59,IF(G62="D-",1,""))))))</f>
        <v>3.98</v>
      </c>
      <c r="M62" s="82">
        <f>IF(ISNUMBER(J62),J62/(J62+K62+L62),"")</f>
        <v>0.44218640504555007</v>
      </c>
      <c r="N62" s="83">
        <f>IF(ISNUMBER(M62),I62*(1+(1-M62)*0.475),"")</f>
        <v>82.222494744218636</v>
      </c>
    </row>
    <row r="63" spans="1:14" x14ac:dyDescent="0.25">
      <c r="A63" s="79"/>
      <c r="B63" s="80">
        <v>1805</v>
      </c>
      <c r="C63" s="80" t="s">
        <v>136</v>
      </c>
      <c r="D63" s="79" t="s">
        <v>42</v>
      </c>
      <c r="E63" s="80" t="s">
        <v>137</v>
      </c>
      <c r="F63" s="79" t="s">
        <v>47</v>
      </c>
      <c r="G63" s="80" t="s">
        <v>137</v>
      </c>
      <c r="H63" s="79" t="s">
        <v>48</v>
      </c>
      <c r="I63" s="79">
        <v>68</v>
      </c>
      <c r="J63" s="81">
        <f>IF(C63="A+",10,IF(C63="A",6.31,IF(C63="B",3.98,IF(C63="C",2.51,IF(C63="D",1.59,IF(C63="D-",1,""))))))</f>
        <v>6.31</v>
      </c>
      <c r="K63" s="81">
        <f>IF(E63="A+",10,IF(E63="A",6.31,IF(E63="B",3.98,IF(E63="C",2.51,IF(E63="D",1.59,IF(E63="D-",1,""))))))</f>
        <v>2.5099999999999998</v>
      </c>
      <c r="L63" s="81">
        <f>IF(G63="A+",10,IF(G63="A",6.31,IF(G63="B",3.98,IF(G63="C",2.51,IF(G63="D",1.59,IF(G63="D-",1,""))))))</f>
        <v>2.5099999999999998</v>
      </c>
      <c r="M63" s="82">
        <f>IF(ISNUMBER(J63),J63/(J63+K63+L63),"")</f>
        <v>0.556928508384819</v>
      </c>
      <c r="N63" s="83">
        <f>IF(ISNUMBER(M63),I63*(1+(1-M63)*0.475),"")</f>
        <v>82.311209179170348</v>
      </c>
    </row>
    <row r="64" spans="1:14" x14ac:dyDescent="0.25">
      <c r="A64" s="79"/>
      <c r="B64" s="80">
        <v>1808</v>
      </c>
      <c r="C64" s="80" t="s">
        <v>136</v>
      </c>
      <c r="D64" s="79" t="s">
        <v>42</v>
      </c>
      <c r="E64" s="80" t="s">
        <v>135</v>
      </c>
      <c r="F64" s="79" t="s">
        <v>49</v>
      </c>
      <c r="G64" s="80" t="s">
        <v>138</v>
      </c>
      <c r="H64" s="79" t="s">
        <v>50</v>
      </c>
      <c r="I64" s="79">
        <v>68</v>
      </c>
      <c r="J64" s="81">
        <f>IF(C64="A+",10,IF(C64="A",6.31,IF(C64="B",3.98,IF(C64="C",2.51,IF(C64="D",1.59,IF(C64="D-",1,""))))))</f>
        <v>6.31</v>
      </c>
      <c r="K64" s="81">
        <f>IF(E64="A+",10,IF(E64="A",6.31,IF(E64="B",3.98,IF(E64="C",2.51,IF(E64="D",1.59,IF(E64="D-",1,""))))))</f>
        <v>3.98</v>
      </c>
      <c r="L64" s="81">
        <f>IF(G64="A+",10,IF(G64="A",6.31,IF(G64="B",3.98,IF(G64="C",2.51,IF(G64="D",1.59,IF(G64="D-",1,""))))))</f>
        <v>1.59</v>
      </c>
      <c r="M64" s="82">
        <f>IF(ISNUMBER(J64),J64/(J64+K64+L64),"")</f>
        <v>0.53114478114478114</v>
      </c>
      <c r="N64" s="83">
        <f>IF(ISNUMBER(M64),I64*(1+(1-M64)*0.475),"")</f>
        <v>83.144023569023574</v>
      </c>
    </row>
    <row r="65" spans="1:14" x14ac:dyDescent="0.2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84" t="s">
        <v>17</v>
      </c>
      <c r="N65" s="85">
        <f>IF(ISNUMBER(M64),AVERAGE(N61:N64),"")</f>
        <v>81.011098539769819</v>
      </c>
    </row>
    <row r="66" spans="1:14" x14ac:dyDescent="0.2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84" t="s">
        <v>18</v>
      </c>
      <c r="N66" s="85">
        <f>IF(ISNUMBER(N65),(N65-69.8)*(113/118),"")</f>
        <v>10.73605199147449</v>
      </c>
    </row>
    <row r="68" spans="1:14" x14ac:dyDescent="0.25">
      <c r="A68" s="2" t="s">
        <v>21</v>
      </c>
      <c r="B68" s="4">
        <v>1508</v>
      </c>
      <c r="C68" s="4"/>
      <c r="D68" s="2" t="s">
        <v>21</v>
      </c>
      <c r="E68" s="4"/>
      <c r="F68" s="2" t="s">
        <v>15</v>
      </c>
      <c r="G68" s="4"/>
      <c r="H68" s="2" t="s">
        <v>20</v>
      </c>
      <c r="I68" s="2">
        <v>70</v>
      </c>
      <c r="J68" s="5" t="str">
        <f>IF(C68="A+",10,IF(C68="A",6.31,IF(C68="B",3.98,IF(C68="C",2.51,IF(C68="D",1.59,IF(C68="D-",1,""))))))</f>
        <v/>
      </c>
      <c r="K68" s="5" t="str">
        <f>IF(E68="A+",10,IF(E68="A",6.31,IF(E68="B",3.98,IF(E68="C",2.51,IF(E68="D",1.59,IF(E68="D-",1,""))))))</f>
        <v/>
      </c>
      <c r="L68" s="5" t="str">
        <f>IF(G68="A+",10,IF(G68="A",6.31,IF(G68="B",3.98,IF(G68="C",2.51,IF(G68="D",1.59,IF(G68="D-",1,""))))))</f>
        <v/>
      </c>
      <c r="M68" s="6" t="str">
        <f>IF(ISNUMBER(J68),J68/(J68+K68+L68),"")</f>
        <v/>
      </c>
      <c r="N68" s="7" t="str">
        <f>IF(ISNUMBER(M68),I68*(1+(1-M68)*0.475),"")</f>
        <v/>
      </c>
    </row>
    <row r="69" spans="1:14" x14ac:dyDescent="0.25">
      <c r="B69" s="4">
        <v>1608</v>
      </c>
      <c r="C69" s="4"/>
      <c r="D69" s="2" t="s">
        <v>21</v>
      </c>
      <c r="E69" s="4"/>
      <c r="F69" s="2" t="s">
        <v>51</v>
      </c>
      <c r="G69" s="4"/>
      <c r="H69" s="2" t="s">
        <v>20</v>
      </c>
      <c r="I69" s="2">
        <v>72</v>
      </c>
      <c r="J69" s="5" t="str">
        <f>IF(C69="A+",10,IF(C69="A",6.31,IF(C69="B",3.98,IF(C69="C",2.51,IF(C69="D",1.59,IF(C69="D-",1,""))))))</f>
        <v/>
      </c>
      <c r="K69" s="5" t="str">
        <f>IF(E69="A+",10,IF(E69="A",6.31,IF(E69="B",3.98,IF(E69="C",2.51,IF(E69="D",1.59,IF(E69="D-",1,""))))))</f>
        <v/>
      </c>
      <c r="L69" s="5" t="str">
        <f>IF(G69="A+",10,IF(G69="A",6.31,IF(G69="B",3.98,IF(G69="C",2.51,IF(G69="D",1.59,IF(G69="D-",1,""))))))</f>
        <v/>
      </c>
      <c r="M69" s="6" t="str">
        <f>IF(ISNUMBER(J69),J69/(J69+K69+L69),"")</f>
        <v/>
      </c>
      <c r="N69" s="7" t="str">
        <f>IF(ISNUMBER(M69),I69*(1+(1-M69)*0.475),"")</f>
        <v/>
      </c>
    </row>
    <row r="70" spans="1:14" x14ac:dyDescent="0.25">
      <c r="M70" s="3" t="s">
        <v>17</v>
      </c>
      <c r="N70" s="8" t="str">
        <f>IF(ISNUMBER(M69),AVERAGE(N68:N69),"")</f>
        <v/>
      </c>
    </row>
    <row r="71" spans="1:14" x14ac:dyDescent="0.25">
      <c r="M71" s="3" t="s">
        <v>18</v>
      </c>
      <c r="N71" s="8" t="str">
        <f>IF(ISNUMBER(N70),(N70-69.8)*(113/118),"")</f>
        <v/>
      </c>
    </row>
    <row r="73" spans="1:14" x14ac:dyDescent="0.25">
      <c r="A73" s="2" t="s">
        <v>51</v>
      </c>
      <c r="B73" s="4">
        <v>1608</v>
      </c>
      <c r="C73" s="4"/>
      <c r="D73" s="2" t="s">
        <v>51</v>
      </c>
      <c r="E73" s="4"/>
      <c r="F73" s="2" t="s">
        <v>21</v>
      </c>
      <c r="G73" s="4"/>
      <c r="H73" s="2" t="s">
        <v>20</v>
      </c>
      <c r="I73" s="2">
        <v>72</v>
      </c>
      <c r="J73" s="5" t="str">
        <f>IF(C73="A+",10,IF(C73="A",6.31,IF(C73="B",3.98,IF(C73="C",2.51,IF(C73="D",1.59,IF(C73="D-",1,""))))))</f>
        <v/>
      </c>
      <c r="K73" s="5" t="str">
        <f>IF(E73="A+",10,IF(E73="A",6.31,IF(E73="B",3.98,IF(E73="C",2.51,IF(E73="D",1.59,IF(E73="D-",1,""))))))</f>
        <v/>
      </c>
      <c r="L73" s="5" t="str">
        <f>IF(G73="A+",10,IF(G73="A",6.31,IF(G73="B",3.98,IF(G73="C",2.51,IF(G73="D",1.59,IF(G73="D-",1,""))))))</f>
        <v/>
      </c>
      <c r="M73" s="6" t="str">
        <f>IF(ISNUMBER(J73),J73/(J73+K73+L73),"")</f>
        <v/>
      </c>
      <c r="N73" s="7" t="str">
        <f>IF(ISNUMBER(M73),I73*(1+(1-M73)*0.475),"")</f>
        <v/>
      </c>
    </row>
    <row r="74" spans="1:14" x14ac:dyDescent="0.25">
      <c r="M74" s="3" t="s">
        <v>17</v>
      </c>
      <c r="N74" s="8" t="str">
        <f>IF(ISNUMBER(M73),AVERAGE(N73:N73),"")</f>
        <v/>
      </c>
    </row>
    <row r="75" spans="1:14" x14ac:dyDescent="0.25">
      <c r="M75" s="3" t="s">
        <v>18</v>
      </c>
      <c r="N75" s="8" t="str">
        <f>IF(ISNUMBER(N74),(N74-69.8)*(113/118),"")</f>
        <v/>
      </c>
    </row>
    <row r="77" spans="1:14" x14ac:dyDescent="0.25">
      <c r="A77" s="2" t="s">
        <v>36</v>
      </c>
      <c r="B77" s="4">
        <v>1505</v>
      </c>
      <c r="C77" s="4"/>
      <c r="D77" s="2" t="s">
        <v>36</v>
      </c>
      <c r="E77" s="4"/>
      <c r="F77" s="2" t="s">
        <v>34</v>
      </c>
      <c r="G77" s="4"/>
      <c r="H77" s="2" t="s">
        <v>35</v>
      </c>
      <c r="I77" s="2">
        <v>92</v>
      </c>
      <c r="J77" s="5" t="str">
        <f>IF(C77="A+",10,IF(C77="A",6.31,IF(C77="B",3.98,IF(C77="C",2.51,IF(C77="D",1.59,IF(C77="D-",1,""))))))</f>
        <v/>
      </c>
      <c r="K77" s="5" t="str">
        <f>IF(E77="A+",10,IF(E77="A",6.31,IF(E77="B",3.98,IF(E77="C",2.51,IF(E77="D",1.59,IF(E77="D-",1,""))))))</f>
        <v/>
      </c>
      <c r="L77" s="5" t="str">
        <f>IF(G77="A+",10,IF(G77="A",6.31,IF(G77="B",3.98,IF(G77="C",2.51,IF(G77="D",1.59,IF(G77="D-",1,""))))))</f>
        <v/>
      </c>
      <c r="M77" s="6" t="str">
        <f>IF(ISNUMBER(J77),J77/(J77+K77+L77),"")</f>
        <v/>
      </c>
      <c r="N77" s="7" t="str">
        <f>IF(ISNUMBER(M77),I77*(1+(1-M77)*0.475),"")</f>
        <v/>
      </c>
    </row>
    <row r="78" spans="1:14" x14ac:dyDescent="0.25">
      <c r="M78" s="3" t="s">
        <v>17</v>
      </c>
      <c r="N78" s="8" t="str">
        <f>IF(ISNUMBER(M77),AVERAGE(N77:N77),"")</f>
        <v/>
      </c>
    </row>
    <row r="79" spans="1:14" x14ac:dyDescent="0.25">
      <c r="M79" s="3" t="s">
        <v>18</v>
      </c>
      <c r="N79" s="8" t="str">
        <f>IF(ISNUMBER(N78),(N78-69.8)*(113/118),"")</f>
        <v/>
      </c>
    </row>
    <row r="81" spans="1:14" x14ac:dyDescent="0.25">
      <c r="A81" s="2" t="s">
        <v>52</v>
      </c>
      <c r="B81" s="4">
        <v>1505</v>
      </c>
      <c r="C81" s="4"/>
      <c r="D81" s="2" t="s">
        <v>52</v>
      </c>
      <c r="E81" s="4"/>
      <c r="F81" s="2" t="s">
        <v>53</v>
      </c>
      <c r="G81" s="4"/>
      <c r="H81" s="2" t="s">
        <v>54</v>
      </c>
      <c r="I81" s="2">
        <v>79</v>
      </c>
      <c r="J81" s="5" t="str">
        <f t="shared" ref="J81:J85" si="10">IF(C81="A+",10,IF(C81="A",6.31,IF(C81="B",3.98,IF(C81="C",2.51,IF(C81="D",1.59,IF(C81="D-",1,""))))))</f>
        <v/>
      </c>
      <c r="K81" s="5" t="str">
        <f t="shared" ref="K81:K85" si="11">IF(E81="A+",10,IF(E81="A",6.31,IF(E81="B",3.98,IF(E81="C",2.51,IF(E81="D",1.59,IF(E81="D-",1,""))))))</f>
        <v/>
      </c>
      <c r="L81" s="5" t="str">
        <f t="shared" ref="L81:L85" si="12">IF(G81="A+",10,IF(G81="A",6.31,IF(G81="B",3.98,IF(G81="C",2.51,IF(G81="D",1.59,IF(G81="D-",1,""))))))</f>
        <v/>
      </c>
      <c r="M81" s="6" t="str">
        <f t="shared" ref="M81:M85" si="13">IF(ISNUMBER(J81),J81/(J81+K81+L81),"")</f>
        <v/>
      </c>
      <c r="N81" s="7" t="str">
        <f>IF(ISNUMBER(M81),I81*(1+(1-M81)*0.475),"")</f>
        <v/>
      </c>
    </row>
    <row r="82" spans="1:14" x14ac:dyDescent="0.25">
      <c r="B82" s="4">
        <v>1608</v>
      </c>
      <c r="C82" s="4"/>
      <c r="D82" s="2" t="s">
        <v>52</v>
      </c>
      <c r="E82" s="4"/>
      <c r="F82" s="2" t="s">
        <v>53</v>
      </c>
      <c r="G82" s="4"/>
      <c r="H82" s="2" t="s">
        <v>54</v>
      </c>
      <c r="I82" s="2">
        <v>73</v>
      </c>
      <c r="J82" s="5" t="str">
        <f t="shared" si="10"/>
        <v/>
      </c>
      <c r="K82" s="5" t="str">
        <f t="shared" si="11"/>
        <v/>
      </c>
      <c r="L82" s="5" t="str">
        <f t="shared" si="12"/>
        <v/>
      </c>
      <c r="M82" s="6" t="str">
        <f t="shared" si="13"/>
        <v/>
      </c>
      <c r="N82" s="7" t="str">
        <f>IF(ISNUMBER(M82),I82*(1+(1-M82)*0.475),"")</f>
        <v/>
      </c>
    </row>
    <row r="83" spans="1:14" x14ac:dyDescent="0.25">
      <c r="B83" s="4">
        <v>1705</v>
      </c>
      <c r="C83" s="4"/>
      <c r="D83" s="2" t="s">
        <v>52</v>
      </c>
      <c r="E83" s="4"/>
      <c r="F83" s="2" t="s">
        <v>53</v>
      </c>
      <c r="G83" s="4"/>
      <c r="H83" s="2" t="s">
        <v>54</v>
      </c>
      <c r="I83" s="2">
        <v>73</v>
      </c>
      <c r="J83" s="5" t="str">
        <f t="shared" si="10"/>
        <v/>
      </c>
      <c r="K83" s="5" t="str">
        <f t="shared" si="11"/>
        <v/>
      </c>
      <c r="L83" s="5" t="str">
        <f t="shared" si="12"/>
        <v/>
      </c>
      <c r="M83" s="6" t="str">
        <f t="shared" si="13"/>
        <v/>
      </c>
      <c r="N83" s="7" t="str">
        <f>IF(ISNUMBER(M83),I83*(1+(1-M83)*0.475),"")</f>
        <v/>
      </c>
    </row>
    <row r="84" spans="1:14" x14ac:dyDescent="0.25">
      <c r="B84" s="4">
        <v>1805</v>
      </c>
      <c r="C84" s="4"/>
      <c r="D84" s="2" t="s">
        <v>52</v>
      </c>
      <c r="E84" s="4"/>
      <c r="F84" s="2" t="s">
        <v>53</v>
      </c>
      <c r="G84" s="4"/>
      <c r="H84" s="2" t="s">
        <v>54</v>
      </c>
      <c r="I84" s="2">
        <v>73</v>
      </c>
      <c r="J84" s="5" t="str">
        <f t="shared" si="10"/>
        <v/>
      </c>
      <c r="K84" s="5" t="str">
        <f t="shared" si="11"/>
        <v/>
      </c>
      <c r="L84" s="5" t="str">
        <f t="shared" si="12"/>
        <v/>
      </c>
      <c r="M84" s="6" t="str">
        <f t="shared" si="13"/>
        <v/>
      </c>
      <c r="N84" s="7" t="str">
        <f>IF(ISNUMBER(M84),I84*(1+(1-M84)*0.475),"")</f>
        <v/>
      </c>
    </row>
    <row r="85" spans="1:14" x14ac:dyDescent="0.25">
      <c r="B85" s="4">
        <v>1808</v>
      </c>
      <c r="C85" s="4"/>
      <c r="D85" s="2" t="s">
        <v>52</v>
      </c>
      <c r="E85" s="4"/>
      <c r="F85" s="2" t="s">
        <v>53</v>
      </c>
      <c r="G85" s="4"/>
      <c r="H85" s="2" t="s">
        <v>55</v>
      </c>
      <c r="I85" s="2">
        <v>77</v>
      </c>
      <c r="J85" s="5" t="str">
        <f t="shared" si="10"/>
        <v/>
      </c>
      <c r="K85" s="5" t="str">
        <f t="shared" si="11"/>
        <v/>
      </c>
      <c r="L85" s="5" t="str">
        <f t="shared" si="12"/>
        <v/>
      </c>
      <c r="M85" s="6" t="str">
        <f t="shared" si="13"/>
        <v/>
      </c>
      <c r="N85" s="7" t="str">
        <f>IF(ISNUMBER(M85),I85*(1+(1-M85)*0.475),"")</f>
        <v/>
      </c>
    </row>
    <row r="86" spans="1:14" x14ac:dyDescent="0.25">
      <c r="M86" s="3" t="s">
        <v>17</v>
      </c>
      <c r="N86" s="8" t="str">
        <f>IF(ISNUMBER(M85),AVERAGE(N81:N85),"")</f>
        <v/>
      </c>
    </row>
    <row r="87" spans="1:14" x14ac:dyDescent="0.25">
      <c r="M87" s="3" t="s">
        <v>18</v>
      </c>
      <c r="N87" s="8" t="str">
        <f>IF(ISNUMBER(N86),(N86-69.8)*(113/118),"")</f>
        <v/>
      </c>
    </row>
    <row r="89" spans="1:14" x14ac:dyDescent="0.25">
      <c r="A89" s="79" t="s">
        <v>56</v>
      </c>
      <c r="B89" s="80">
        <v>1505</v>
      </c>
      <c r="C89" s="80" t="s">
        <v>137</v>
      </c>
      <c r="D89" s="79" t="s">
        <v>56</v>
      </c>
      <c r="E89" s="80" t="s">
        <v>137</v>
      </c>
      <c r="F89" s="79" t="s">
        <v>57</v>
      </c>
      <c r="G89" s="80" t="s">
        <v>138</v>
      </c>
      <c r="H89" s="79" t="s">
        <v>58</v>
      </c>
      <c r="I89" s="79">
        <v>80</v>
      </c>
      <c r="J89" s="81">
        <f>IF(C89="A+",10,IF(C89="A",6.31,IF(C89="B",3.98,IF(C89="C",2.51,IF(C89="D",1.59,IF(C89="D-",1,""))))))</f>
        <v>2.5099999999999998</v>
      </c>
      <c r="K89" s="81">
        <f>IF(E89="A+",10,IF(E89="A",6.31,IF(E89="B",3.98,IF(E89="C",2.51,IF(E89="D",1.59,IF(E89="D-",1,""))))))</f>
        <v>2.5099999999999998</v>
      </c>
      <c r="L89" s="81">
        <f>IF(G89="A+",10,IF(G89="A",6.31,IF(G89="B",3.98,IF(G89="C",2.51,IF(G89="D",1.59,IF(G89="D-",1,""))))))</f>
        <v>1.59</v>
      </c>
      <c r="M89" s="82">
        <f>IF(ISNUMBER(J89),J89/(J89+K89+L89),"")</f>
        <v>0.37972768532526474</v>
      </c>
      <c r="N89" s="83">
        <f>IF(ISNUMBER(M89),I89*(1+(1-M89)*0.475),"")</f>
        <v>103.57034795763994</v>
      </c>
    </row>
    <row r="90" spans="1:14" x14ac:dyDescent="0.25">
      <c r="A90" s="79"/>
      <c r="B90" s="80">
        <v>1508</v>
      </c>
      <c r="C90" s="80" t="s">
        <v>137</v>
      </c>
      <c r="D90" s="79" t="s">
        <v>56</v>
      </c>
      <c r="E90" s="80" t="s">
        <v>137</v>
      </c>
      <c r="F90" s="79" t="s">
        <v>57</v>
      </c>
      <c r="G90" s="80" t="s">
        <v>138</v>
      </c>
      <c r="H90" s="79" t="s">
        <v>58</v>
      </c>
      <c r="I90" s="79">
        <v>77</v>
      </c>
      <c r="J90" s="81">
        <f>IF(C90="A+",10,IF(C90="A",6.31,IF(C90="B",3.98,IF(C90="C",2.51,IF(C90="D",1.59,IF(C90="D-",1,""))))))</f>
        <v>2.5099999999999998</v>
      </c>
      <c r="K90" s="81">
        <f>IF(E90="A+",10,IF(E90="A",6.31,IF(E90="B",3.98,IF(E90="C",2.51,IF(E90="D",1.59,IF(E90="D-",1,""))))))</f>
        <v>2.5099999999999998</v>
      </c>
      <c r="L90" s="81">
        <f>IF(G90="A+",10,IF(G90="A",6.31,IF(G90="B",3.98,IF(G90="C",2.51,IF(G90="D",1.59,IF(G90="D-",1,""))))))</f>
        <v>1.59</v>
      </c>
      <c r="M90" s="82">
        <f>IF(ISNUMBER(J90),J90/(J90+K90+L90),"")</f>
        <v>0.37972768532526474</v>
      </c>
      <c r="N90" s="83">
        <f>IF(ISNUMBER(M90),I90*(1+(1-M90)*0.475),"")</f>
        <v>99.686459909228446</v>
      </c>
    </row>
    <row r="91" spans="1:14" x14ac:dyDescent="0.25">
      <c r="A91" s="79"/>
      <c r="B91" s="80">
        <v>1705</v>
      </c>
      <c r="C91" s="80" t="s">
        <v>137</v>
      </c>
      <c r="D91" s="79" t="s">
        <v>56</v>
      </c>
      <c r="E91" s="80" t="s">
        <v>137</v>
      </c>
      <c r="F91" s="79" t="s">
        <v>57</v>
      </c>
      <c r="G91" s="80" t="s">
        <v>138</v>
      </c>
      <c r="H91" s="79" t="s">
        <v>58</v>
      </c>
      <c r="I91" s="79">
        <v>85</v>
      </c>
      <c r="J91" s="81">
        <f>IF(C91="A+",10,IF(C91="A",6.31,IF(C91="B",3.98,IF(C91="C",2.51,IF(C91="D",1.59,IF(C91="D-",1,""))))))</f>
        <v>2.5099999999999998</v>
      </c>
      <c r="K91" s="81">
        <f>IF(E91="A+",10,IF(E91="A",6.31,IF(E91="B",3.98,IF(E91="C",2.51,IF(E91="D",1.59,IF(E91="D-",1,""))))))</f>
        <v>2.5099999999999998</v>
      </c>
      <c r="L91" s="81">
        <f>IF(G91="A+",10,IF(G91="A",6.31,IF(G91="B",3.98,IF(G91="C",2.51,IF(G91="D",1.59,IF(G91="D-",1,""))))))</f>
        <v>1.59</v>
      </c>
      <c r="M91" s="82">
        <f>IF(ISNUMBER(J91),J91/(J91+K91+L91),"")</f>
        <v>0.37972768532526474</v>
      </c>
      <c r="N91" s="83">
        <f>IF(ISNUMBER(M91),I91*(1+(1-M91)*0.475),"")</f>
        <v>110.04349470499244</v>
      </c>
    </row>
    <row r="92" spans="1:14" x14ac:dyDescent="0.25">
      <c r="A92" s="79"/>
      <c r="B92" s="80">
        <v>1808</v>
      </c>
      <c r="C92" s="80" t="s">
        <v>137</v>
      </c>
      <c r="D92" s="79" t="s">
        <v>56</v>
      </c>
      <c r="E92" s="80" t="s">
        <v>137</v>
      </c>
      <c r="F92" s="79" t="s">
        <v>57</v>
      </c>
      <c r="G92" s="80" t="s">
        <v>138</v>
      </c>
      <c r="H92" s="79" t="s">
        <v>58</v>
      </c>
      <c r="I92" s="79">
        <v>88</v>
      </c>
      <c r="J92" s="81">
        <f>IF(C92="A+",10,IF(C92="A",6.31,IF(C92="B",3.98,IF(C92="C",2.51,IF(C92="D",1.59,IF(C92="D-",1,""))))))</f>
        <v>2.5099999999999998</v>
      </c>
      <c r="K92" s="81">
        <f>IF(E92="A+",10,IF(E92="A",6.31,IF(E92="B",3.98,IF(E92="C",2.51,IF(E92="D",1.59,IF(E92="D-",1,""))))))</f>
        <v>2.5099999999999998</v>
      </c>
      <c r="L92" s="81">
        <f>IF(G92="A+",10,IF(G92="A",6.31,IF(G92="B",3.98,IF(G92="C",2.51,IF(G92="D",1.59,IF(G92="D-",1,""))))))</f>
        <v>1.59</v>
      </c>
      <c r="M92" s="82">
        <f>IF(ISNUMBER(J92),J92/(J92+K92+L92),"")</f>
        <v>0.37972768532526474</v>
      </c>
      <c r="N92" s="83">
        <f>IF(ISNUMBER(M92),I92*(1+(1-M92)*0.475),"")</f>
        <v>113.92738275340393</v>
      </c>
    </row>
    <row r="93" spans="1:14" x14ac:dyDescent="0.2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84" t="s">
        <v>17</v>
      </c>
      <c r="N93" s="85">
        <f>IF(ISNUMBER(M92),AVERAGE(N89:N92),"")</f>
        <v>106.80692133131619</v>
      </c>
    </row>
    <row r="94" spans="1:14" x14ac:dyDescent="0.2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84" t="s">
        <v>18</v>
      </c>
      <c r="N94" s="85">
        <f>IF(ISNUMBER(N93),(N93-69.8)*(113/118),"")</f>
        <v>35.438831444396016</v>
      </c>
    </row>
    <row r="96" spans="1:14" x14ac:dyDescent="0.25">
      <c r="A96" s="2" t="s">
        <v>59</v>
      </c>
      <c r="B96" s="4">
        <v>1808</v>
      </c>
      <c r="C96" s="4"/>
      <c r="D96" s="2" t="s">
        <v>59</v>
      </c>
      <c r="E96" s="4"/>
      <c r="G96" s="4"/>
      <c r="H96" s="2" t="s">
        <v>60</v>
      </c>
      <c r="I96" s="2">
        <v>89</v>
      </c>
      <c r="J96" s="5" t="str">
        <f>IF(C96="A+",10,IF(C96="A",6.31,IF(C96="B",3.98,IF(C96="C",2.51,IF(C96="D",1.59,IF(C96="D-",1,""))))))</f>
        <v/>
      </c>
      <c r="K96" s="5" t="str">
        <f>IF(E96="A+",10,IF(E96="A",6.31,IF(E96="B",3.98,IF(E96="C",2.51,IF(E96="D",1.59,IF(E96="D-",1,""))))))</f>
        <v/>
      </c>
      <c r="L96" s="5" t="str">
        <f>IF(G96="A+",10,IF(G96="A",6.31,IF(G96="B",3.98,IF(G96="C",2.51,IF(G96="D",1.59,IF(G96="D-",1,""))))))</f>
        <v/>
      </c>
      <c r="M96" s="6" t="str">
        <f>IF(ISNUMBER(J96),J96/(J96+K96+L96),"")</f>
        <v/>
      </c>
      <c r="N96" s="7" t="str">
        <f>IF(ISNUMBER(M96),I96*(1+(1-M96)*0.475),"")</f>
        <v/>
      </c>
    </row>
    <row r="97" spans="1:14" x14ac:dyDescent="0.25">
      <c r="M97" s="3" t="s">
        <v>17</v>
      </c>
      <c r="N97" s="8" t="str">
        <f>IF(ISNUMBER(M96),AVERAGE(N96:N96),"")</f>
        <v/>
      </c>
    </row>
    <row r="98" spans="1:14" x14ac:dyDescent="0.25">
      <c r="M98" s="3" t="s">
        <v>18</v>
      </c>
      <c r="N98" s="8" t="str">
        <f>IF(ISNUMBER(N97),(N97-69.8)*(113/118),"")</f>
        <v/>
      </c>
    </row>
    <row r="100" spans="1:14" x14ac:dyDescent="0.25">
      <c r="A100" s="2" t="s">
        <v>40</v>
      </c>
      <c r="B100" s="4">
        <v>1608</v>
      </c>
      <c r="C100" s="4"/>
      <c r="D100" s="2" t="s">
        <v>40</v>
      </c>
      <c r="E100" s="4"/>
      <c r="F100" s="2" t="s">
        <v>39</v>
      </c>
      <c r="G100" s="4"/>
      <c r="H100" s="2" t="s">
        <v>41</v>
      </c>
      <c r="I100" s="2">
        <v>64</v>
      </c>
      <c r="J100" s="5" t="str">
        <f>IF(C100="A+",10,IF(C100="A",6.31,IF(C100="B",3.98,IF(C100="C",2.51,IF(C100="D",1.59,IF(C100="D-",1,""))))))</f>
        <v/>
      </c>
      <c r="K100" s="5" t="str">
        <f>IF(E100="A+",10,IF(E100="A",6.31,IF(E100="B",3.98,IF(E100="C",2.51,IF(E100="D",1.59,IF(E100="D-",1,""))))))</f>
        <v/>
      </c>
      <c r="L100" s="5" t="str">
        <f>IF(G100="A+",10,IF(G100="A",6.31,IF(G100="B",3.98,IF(G100="C",2.51,IF(G100="D",1.59,IF(G100="D-",1,""))))))</f>
        <v/>
      </c>
      <c r="M100" s="6" t="str">
        <f>IF(ISNUMBER(J100),J100/(J100+K100+L100),"")</f>
        <v/>
      </c>
      <c r="N100" s="7" t="str">
        <f>IF(ISNUMBER(M100),I100*(1+(1-M100)*0.475),"")</f>
        <v/>
      </c>
    </row>
    <row r="101" spans="1:14" x14ac:dyDescent="0.25">
      <c r="M101" s="3" t="s">
        <v>17</v>
      </c>
      <c r="N101" s="8" t="str">
        <f>IF(ISNUMBER(M100),AVERAGE(N100:N100),"")</f>
        <v/>
      </c>
    </row>
    <row r="102" spans="1:14" x14ac:dyDescent="0.25">
      <c r="M102" s="3" t="s">
        <v>18</v>
      </c>
      <c r="N102" s="8" t="str">
        <f>IF(ISNUMBER(N101),(N101-69.8)*(113/118),"")</f>
        <v/>
      </c>
    </row>
    <row r="104" spans="1:14" x14ac:dyDescent="0.25">
      <c r="A104" s="79" t="s">
        <v>37</v>
      </c>
      <c r="B104" s="80">
        <v>1608</v>
      </c>
      <c r="C104" s="80" t="s">
        <v>136</v>
      </c>
      <c r="D104" s="79" t="s">
        <v>37</v>
      </c>
      <c r="E104" s="80" t="s">
        <v>135</v>
      </c>
      <c r="F104" s="79" t="s">
        <v>34</v>
      </c>
      <c r="G104" s="80" t="s">
        <v>135</v>
      </c>
      <c r="H104" s="79" t="s">
        <v>35</v>
      </c>
      <c r="I104" s="79">
        <v>68</v>
      </c>
      <c r="J104" s="81">
        <f>IF(C104="A+",10,IF(C104="A",6.31,IF(C104="B",3.98,IF(C104="C",2.51,IF(C104="D",1.59,IF(C104="D-",1,""))))))</f>
        <v>6.31</v>
      </c>
      <c r="K104" s="81">
        <f>IF(E104="A+",10,IF(E104="A",6.31,IF(E104="B",3.98,IF(E104="C",2.51,IF(E104="D",1.59,IF(E104="D-",1,""))))))</f>
        <v>3.98</v>
      </c>
      <c r="L104" s="81">
        <f>IF(G104="A+",10,IF(G104="A",6.31,IF(G104="B",3.98,IF(G104="C",2.51,IF(G104="D",1.59,IF(G104="D-",1,""))))))</f>
        <v>3.98</v>
      </c>
      <c r="M104" s="82">
        <f>IF(ISNUMBER(J104),J104/(J104+K104+L104),"")</f>
        <v>0.44218640504555007</v>
      </c>
      <c r="N104" s="83">
        <f>IF(ISNUMBER(M104),I104*(1+(1-M104)*0.475),"")</f>
        <v>86.017379117028725</v>
      </c>
    </row>
    <row r="105" spans="1:14" x14ac:dyDescent="0.2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84" t="s">
        <v>17</v>
      </c>
      <c r="N105" s="85">
        <f>IF(ISNUMBER(M104),AVERAGE(N104:N104),"")</f>
        <v>86.017379117028725</v>
      </c>
    </row>
    <row r="106" spans="1:14" x14ac:dyDescent="0.2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84" t="s">
        <v>18</v>
      </c>
      <c r="N106" s="85">
        <f>IF(ISNUMBER(N105),(N105-69.8)*(113/118),"")</f>
        <v>15.530202035798697</v>
      </c>
    </row>
    <row r="108" spans="1:14" x14ac:dyDescent="0.25">
      <c r="A108" s="11" t="s">
        <v>61</v>
      </c>
      <c r="B108" s="10">
        <v>1805</v>
      </c>
      <c r="C108" s="10" t="s">
        <v>135</v>
      </c>
      <c r="D108" s="11" t="s">
        <v>61</v>
      </c>
      <c r="E108" s="10" t="s">
        <v>135</v>
      </c>
      <c r="F108" s="11" t="s">
        <v>45</v>
      </c>
      <c r="G108" s="10" t="s">
        <v>135</v>
      </c>
      <c r="H108" s="11" t="s">
        <v>62</v>
      </c>
      <c r="I108" s="11">
        <v>66</v>
      </c>
      <c r="J108" s="12">
        <f>IF(C108="A+",10,IF(C108="A",6.31,IF(C108="B",3.98,IF(C108="C",2.51,IF(C108="D",1.59,IF(C108="D-",1,""))))))</f>
        <v>3.98</v>
      </c>
      <c r="K108" s="12">
        <f>IF(E108="A+",10,IF(E108="A",6.31,IF(E108="B",3.98,IF(E108="C",2.51,IF(E108="D",1.59,IF(E108="D-",1,""))))))</f>
        <v>3.98</v>
      </c>
      <c r="L108" s="12">
        <f>IF(G108="A+",10,IF(G108="A",6.31,IF(G108="B",3.98,IF(G108="C",2.51,IF(G108="D",1.59,IF(G108="D-",1,""))))))</f>
        <v>3.98</v>
      </c>
      <c r="M108" s="13">
        <f>IF(ISNUMBER(J108),J108/(J108+K108+L108),"")</f>
        <v>0.33333333333333337</v>
      </c>
      <c r="N108" s="14">
        <f>IF(ISNUMBER(M108),I108*(1+(1-M108)*0.475),"")</f>
        <v>86.9</v>
      </c>
    </row>
    <row r="109" spans="1:14" x14ac:dyDescent="0.25">
      <c r="A109" s="11"/>
      <c r="B109" s="10">
        <v>1906</v>
      </c>
      <c r="C109" s="10" t="s">
        <v>135</v>
      </c>
      <c r="D109" s="11" t="s">
        <v>61</v>
      </c>
      <c r="E109" s="10" t="s">
        <v>135</v>
      </c>
      <c r="F109" s="11" t="s">
        <v>45</v>
      </c>
      <c r="G109" s="10" t="s">
        <v>135</v>
      </c>
      <c r="H109" s="11" t="s">
        <v>46</v>
      </c>
      <c r="I109" s="11">
        <v>71</v>
      </c>
      <c r="J109" s="12">
        <f>IF(C109="A+",10,IF(C109="A",6.31,IF(C109="B",3.98,IF(C109="C",2.51,IF(C109="D",1.59,IF(C109="D-",1,""))))))</f>
        <v>3.98</v>
      </c>
      <c r="K109" s="12">
        <f>IF(E109="A+",10,IF(E109="A",6.31,IF(E109="B",3.98,IF(E109="C",2.51,IF(E109="D",1.59,IF(E109="D-",1,""))))))</f>
        <v>3.98</v>
      </c>
      <c r="L109" s="12">
        <f>IF(G109="A+",10,IF(G109="A",6.31,IF(G109="B",3.98,IF(G109="C",2.51,IF(G109="D",1.59,IF(G109="D-",1,""))))))</f>
        <v>3.98</v>
      </c>
      <c r="M109" s="13">
        <f>IF(ISNUMBER(J109),J109/(J109+K109+L109),"")</f>
        <v>0.33333333333333337</v>
      </c>
      <c r="N109" s="14">
        <f>IF(ISNUMBER(M109),I109*(1+(1-M109)*0.475),"")</f>
        <v>93.483333333333334</v>
      </c>
    </row>
    <row r="110" spans="1:14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9" t="s">
        <v>17</v>
      </c>
      <c r="N110" s="15">
        <f>IF(ISNUMBER(M109),AVERAGE(N108:N109),"")</f>
        <v>90.191666666666663</v>
      </c>
    </row>
    <row r="111" spans="1:14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9" t="s">
        <v>18</v>
      </c>
      <c r="N111" s="15">
        <f>IF(ISNUMBER(N110),(N110-69.8)*(113/118),"")</f>
        <v>19.527612994350282</v>
      </c>
    </row>
    <row r="113" spans="1:14" x14ac:dyDescent="0.25">
      <c r="A113" s="11" t="s">
        <v>45</v>
      </c>
      <c r="B113" s="10">
        <v>1608</v>
      </c>
      <c r="C113" s="10" t="s">
        <v>135</v>
      </c>
      <c r="D113" s="11" t="s">
        <v>45</v>
      </c>
      <c r="E113" s="10" t="s">
        <v>135</v>
      </c>
      <c r="F113" s="11" t="s">
        <v>63</v>
      </c>
      <c r="G113" s="10" t="s">
        <v>135</v>
      </c>
      <c r="H113" s="11" t="s">
        <v>64</v>
      </c>
      <c r="I113" s="11">
        <v>70</v>
      </c>
      <c r="J113" s="12">
        <f>IF(C113="A+",10,IF(C113="A",6.31,IF(C113="B",3.98,IF(C113="C",2.51,IF(C113="D",1.59,IF(C113="D-",1,""))))))</f>
        <v>3.98</v>
      </c>
      <c r="K113" s="12">
        <f>IF(E113="A+",10,IF(E113="A",6.31,IF(E113="B",3.98,IF(E113="C",2.51,IF(E113="D",1.59,IF(E113="D-",1,""))))))</f>
        <v>3.98</v>
      </c>
      <c r="L113" s="12">
        <f>IF(G113="A+",10,IF(G113="A",6.31,IF(G113="B",3.98,IF(G113="C",2.51,IF(G113="D",1.59,IF(G113="D-",1,""))))))</f>
        <v>3.98</v>
      </c>
      <c r="M113" s="13">
        <f>IF(ISNUMBER(J113),J113/(J113+K113+L113),"")</f>
        <v>0.33333333333333337</v>
      </c>
      <c r="N113" s="14">
        <f>IF(ISNUMBER(M113),I113*(1+(1-M113)*0.475),"")</f>
        <v>92.166666666666671</v>
      </c>
    </row>
    <row r="114" spans="1:14" x14ac:dyDescent="0.25">
      <c r="A114" s="11"/>
      <c r="B114" s="10">
        <v>1705</v>
      </c>
      <c r="C114" s="10" t="s">
        <v>135</v>
      </c>
      <c r="D114" s="11" t="s">
        <v>45</v>
      </c>
      <c r="E114" s="10" t="s">
        <v>136</v>
      </c>
      <c r="F114" s="11" t="s">
        <v>42</v>
      </c>
      <c r="G114" s="10" t="s">
        <v>135</v>
      </c>
      <c r="H114" s="11" t="s">
        <v>46</v>
      </c>
      <c r="I114" s="11">
        <v>65</v>
      </c>
      <c r="J114" s="12">
        <f>IF(C114="A+",10,IF(C114="A",6.31,IF(C114="B",3.98,IF(C114="C",2.51,IF(C114="D",1.59,IF(C114="D-",1,""))))))</f>
        <v>3.98</v>
      </c>
      <c r="K114" s="12">
        <f>IF(E114="A+",10,IF(E114="A",6.31,IF(E114="B",3.98,IF(E114="C",2.51,IF(E114="D",1.59,IF(E114="D-",1,""))))))</f>
        <v>6.31</v>
      </c>
      <c r="L114" s="12">
        <f>IF(G114="A+",10,IF(G114="A",6.31,IF(G114="B",3.98,IF(G114="C",2.51,IF(G114="D",1.59,IF(G114="D-",1,""))))))</f>
        <v>3.98</v>
      </c>
      <c r="M114" s="13">
        <f>IF(ISNUMBER(J114),J114/(J114+K114+L114),"")</f>
        <v>0.27890679747722497</v>
      </c>
      <c r="N114" s="14">
        <f>IF(ISNUMBER(M114),I114*(1+(1-M114)*0.475),"")</f>
        <v>87.263752627890668</v>
      </c>
    </row>
    <row r="115" spans="1:14" x14ac:dyDescent="0.25">
      <c r="A115" s="11"/>
      <c r="B115" s="10">
        <v>1805</v>
      </c>
      <c r="C115" s="10" t="s">
        <v>135</v>
      </c>
      <c r="D115" s="11" t="s">
        <v>45</v>
      </c>
      <c r="E115" s="10" t="s">
        <v>135</v>
      </c>
      <c r="F115" s="11" t="s">
        <v>61</v>
      </c>
      <c r="G115" s="10" t="s">
        <v>135</v>
      </c>
      <c r="H115" s="11" t="s">
        <v>62</v>
      </c>
      <c r="I115" s="11">
        <v>66</v>
      </c>
      <c r="J115" s="12">
        <f>IF(C115="A+",10,IF(C115="A",6.31,IF(C115="B",3.98,IF(C115="C",2.51,IF(C115="D",1.59,IF(C115="D-",1,""))))))</f>
        <v>3.98</v>
      </c>
      <c r="K115" s="12">
        <f>IF(E115="A+",10,IF(E115="A",6.31,IF(E115="B",3.98,IF(E115="C",2.51,IF(E115="D",1.59,IF(E115="D-",1,""))))))</f>
        <v>3.98</v>
      </c>
      <c r="L115" s="12">
        <f>IF(G115="A+",10,IF(G115="A",6.31,IF(G115="B",3.98,IF(G115="C",2.51,IF(G115="D",1.59,IF(G115="D-",1,""))))))</f>
        <v>3.98</v>
      </c>
      <c r="M115" s="13">
        <f>IF(ISNUMBER(J115),J115/(J115+K115+L115),"")</f>
        <v>0.33333333333333337</v>
      </c>
      <c r="N115" s="14">
        <f>IF(ISNUMBER(M115),I115*(1+(1-M115)*0.475),"")</f>
        <v>86.9</v>
      </c>
    </row>
    <row r="116" spans="1:14" x14ac:dyDescent="0.25">
      <c r="A116" s="11"/>
      <c r="B116" s="10">
        <v>1906</v>
      </c>
      <c r="C116" s="10" t="s">
        <v>135</v>
      </c>
      <c r="D116" s="11" t="s">
        <v>45</v>
      </c>
      <c r="E116" s="10" t="s">
        <v>135</v>
      </c>
      <c r="F116" s="11" t="s">
        <v>61</v>
      </c>
      <c r="G116" s="10" t="s">
        <v>135</v>
      </c>
      <c r="H116" s="11" t="s">
        <v>46</v>
      </c>
      <c r="I116" s="11">
        <v>71</v>
      </c>
      <c r="J116" s="12">
        <f>IF(C116="A+",10,IF(C116="A",6.31,IF(C116="B",3.98,IF(C116="C",2.51,IF(C116="D",1.59,IF(C116="D-",1,""))))))</f>
        <v>3.98</v>
      </c>
      <c r="K116" s="12">
        <f>IF(E116="A+",10,IF(E116="A",6.31,IF(E116="B",3.98,IF(E116="C",2.51,IF(E116="D",1.59,IF(E116="D-",1,""))))))</f>
        <v>3.98</v>
      </c>
      <c r="L116" s="12">
        <f>IF(G116="A+",10,IF(G116="A",6.31,IF(G116="B",3.98,IF(G116="C",2.51,IF(G116="D",1.59,IF(G116="D-",1,""))))))</f>
        <v>3.98</v>
      </c>
      <c r="M116" s="13">
        <f>IF(ISNUMBER(J116),J116/(J116+K116+L116),"")</f>
        <v>0.33333333333333337</v>
      </c>
      <c r="N116" s="14">
        <f>IF(ISNUMBER(M116),I116*(1+(1-M116)*0.475),"")</f>
        <v>93.483333333333334</v>
      </c>
    </row>
    <row r="117" spans="1:14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9" t="s">
        <v>17</v>
      </c>
      <c r="N117" s="15">
        <f>IF(ISNUMBER(M116),AVERAGE(N113:N116),"")</f>
        <v>89.95343815697268</v>
      </c>
    </row>
    <row r="118" spans="1:14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9" t="s">
        <v>18</v>
      </c>
      <c r="N118" s="15">
        <f>IF(ISNUMBER(N117),(N117-69.8)*(113/118),"")</f>
        <v>19.299478913033163</v>
      </c>
    </row>
    <row r="120" spans="1:14" x14ac:dyDescent="0.25">
      <c r="A120" s="79" t="s">
        <v>49</v>
      </c>
      <c r="B120" s="80">
        <v>1808</v>
      </c>
      <c r="C120" s="80" t="s">
        <v>135</v>
      </c>
      <c r="D120" s="79" t="s">
        <v>49</v>
      </c>
      <c r="E120" s="80" t="s">
        <v>136</v>
      </c>
      <c r="F120" s="79" t="s">
        <v>42</v>
      </c>
      <c r="G120" s="80" t="s">
        <v>138</v>
      </c>
      <c r="H120" s="79" t="s">
        <v>50</v>
      </c>
      <c r="I120" s="79">
        <v>68</v>
      </c>
      <c r="J120" s="81">
        <f>IF(C120="A+",10,IF(C120="A",6.31,IF(C120="B",3.98,IF(C120="C",2.51,IF(C120="D",1.59,IF(C120="D-",1,""))))))</f>
        <v>3.98</v>
      </c>
      <c r="K120" s="81">
        <f>IF(E120="A+",10,IF(E120="A",6.31,IF(E120="B",3.98,IF(E120="C",2.51,IF(E120="D",1.59,IF(E120="D-",1,""))))))</f>
        <v>6.31</v>
      </c>
      <c r="L120" s="81">
        <f>IF(G120="A+",10,IF(G120="A",6.31,IF(G120="B",3.98,IF(G120="C",2.51,IF(G120="D",1.59,IF(G120="D-",1,""))))))</f>
        <v>1.59</v>
      </c>
      <c r="M120" s="82">
        <f>IF(ISNUMBER(J120),J120/(J120+K120+L120),"")</f>
        <v>0.33501683501683505</v>
      </c>
      <c r="N120" s="83">
        <f>IF(ISNUMBER(M120),I120*(1+(1-M120)*0.475),"")</f>
        <v>89.478956228956235</v>
      </c>
    </row>
    <row r="121" spans="1:14" x14ac:dyDescent="0.2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84" t="s">
        <v>17</v>
      </c>
      <c r="N121" s="85">
        <f>IF(ISNUMBER(M120),AVERAGE(N120:N120),"")</f>
        <v>89.478956228956235</v>
      </c>
    </row>
    <row r="122" spans="1:14" x14ac:dyDescent="0.2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84" t="s">
        <v>18</v>
      </c>
      <c r="N122" s="85">
        <f>IF(ISNUMBER(N121),(N121-69.8)*(113/118),"")</f>
        <v>18.845102151458093</v>
      </c>
    </row>
    <row r="124" spans="1:14" x14ac:dyDescent="0.25">
      <c r="A124" s="79" t="s">
        <v>65</v>
      </c>
      <c r="B124" s="80">
        <v>1508</v>
      </c>
      <c r="C124" s="80" t="s">
        <v>137</v>
      </c>
      <c r="D124" s="79" t="s">
        <v>65</v>
      </c>
      <c r="E124" s="80" t="s">
        <v>137</v>
      </c>
      <c r="F124" s="79" t="s">
        <v>66</v>
      </c>
      <c r="G124" s="80" t="s">
        <v>137</v>
      </c>
      <c r="H124" s="79" t="s">
        <v>67</v>
      </c>
      <c r="I124" s="79">
        <v>81</v>
      </c>
      <c r="J124" s="81">
        <f>IF(C124="A+",10,IF(C124="A",6.31,IF(C124="B",3.98,IF(C124="C",2.51,IF(C124="D",1.59,IF(C124="D-",1,""))))))</f>
        <v>2.5099999999999998</v>
      </c>
      <c r="K124" s="81">
        <f>IF(E124="A+",10,IF(E124="A",6.31,IF(E124="B",3.98,IF(E124="C",2.51,IF(E124="D",1.59,IF(E124="D-",1,""))))))</f>
        <v>2.5099999999999998</v>
      </c>
      <c r="L124" s="81">
        <f>IF(G124="A+",10,IF(G124="A",6.31,IF(G124="B",3.98,IF(G124="C",2.51,IF(G124="D",1.59,IF(G124="D-",1,""))))))</f>
        <v>2.5099999999999998</v>
      </c>
      <c r="M124" s="82">
        <f>IF(ISNUMBER(J124),J124/(J124+K124+L124),"")</f>
        <v>0.33333333333333331</v>
      </c>
      <c r="N124" s="83">
        <f>IF(ISNUMBER(M124),I124*(1+(1-M124)*0.475),"")</f>
        <v>106.65</v>
      </c>
    </row>
    <row r="125" spans="1:14" x14ac:dyDescent="0.25">
      <c r="A125" s="79"/>
      <c r="B125" s="80">
        <v>1705</v>
      </c>
      <c r="C125" s="80" t="s">
        <v>137</v>
      </c>
      <c r="D125" s="79" t="s">
        <v>65</v>
      </c>
      <c r="E125" s="80" t="s">
        <v>135</v>
      </c>
      <c r="F125" s="79" t="s">
        <v>68</v>
      </c>
      <c r="G125" s="80" t="s">
        <v>137</v>
      </c>
      <c r="H125" s="79" t="s">
        <v>67</v>
      </c>
      <c r="I125" s="79">
        <v>77</v>
      </c>
      <c r="J125" s="81">
        <f>IF(C125="A+",10,IF(C125="A",6.31,IF(C125="B",3.98,IF(C125="C",2.51,IF(C125="D",1.59,IF(C125="D-",1,""))))))</f>
        <v>2.5099999999999998</v>
      </c>
      <c r="K125" s="81">
        <f>IF(E125="A+",10,IF(E125="A",6.31,IF(E125="B",3.98,IF(E125="C",2.51,IF(E125="D",1.59,IF(E125="D-",1,""))))))</f>
        <v>3.98</v>
      </c>
      <c r="L125" s="81">
        <f>IF(G125="A+",10,IF(G125="A",6.31,IF(G125="B",3.98,IF(G125="C",2.51,IF(G125="D",1.59,IF(G125="D-",1,""))))))</f>
        <v>2.5099999999999998</v>
      </c>
      <c r="M125" s="82">
        <f>IF(ISNUMBER(J125),J125/(J125+K125+L125),"")</f>
        <v>0.27888888888888885</v>
      </c>
      <c r="N125" s="83">
        <f>IF(ISNUMBER(M125),I125*(1+(1-M125)*0.475),"")</f>
        <v>103.37463888888888</v>
      </c>
    </row>
    <row r="126" spans="1:14" x14ac:dyDescent="0.25">
      <c r="A126" s="79"/>
      <c r="B126" s="80">
        <v>1805</v>
      </c>
      <c r="C126" s="80" t="s">
        <v>137</v>
      </c>
      <c r="D126" s="79" t="s">
        <v>65</v>
      </c>
      <c r="E126" s="80" t="s">
        <v>135</v>
      </c>
      <c r="F126" s="79" t="s">
        <v>69</v>
      </c>
      <c r="G126" s="80" t="s">
        <v>137</v>
      </c>
      <c r="H126" s="79" t="s">
        <v>67</v>
      </c>
      <c r="I126" s="79">
        <v>75</v>
      </c>
      <c r="J126" s="81">
        <f>IF(C126="A+",10,IF(C126="A",6.31,IF(C126="B",3.98,IF(C126="C",2.51,IF(C126="D",1.59,IF(C126="D-",1,""))))))</f>
        <v>2.5099999999999998</v>
      </c>
      <c r="K126" s="81">
        <f>IF(E126="A+",10,IF(E126="A",6.31,IF(E126="B",3.98,IF(E126="C",2.51,IF(E126="D",1.59,IF(E126="D-",1,""))))))</f>
        <v>3.98</v>
      </c>
      <c r="L126" s="81">
        <f>IF(G126="A+",10,IF(G126="A",6.31,IF(G126="B",3.98,IF(G126="C",2.51,IF(G126="D",1.59,IF(G126="D-",1,""))))))</f>
        <v>2.5099999999999998</v>
      </c>
      <c r="M126" s="82">
        <f>IF(ISNUMBER(J126),J126/(J126+K126+L126),"")</f>
        <v>0.27888888888888885</v>
      </c>
      <c r="N126" s="83">
        <f>IF(ISNUMBER(M126),I126*(1+(1-M126)*0.475),"")</f>
        <v>100.68958333333333</v>
      </c>
    </row>
    <row r="127" spans="1:14" x14ac:dyDescent="0.25">
      <c r="A127" s="79"/>
      <c r="B127" s="80">
        <v>1906</v>
      </c>
      <c r="C127" s="80" t="s">
        <v>137</v>
      </c>
      <c r="D127" s="79" t="s">
        <v>65</v>
      </c>
      <c r="E127" s="80" t="s">
        <v>135</v>
      </c>
      <c r="F127" s="79" t="s">
        <v>70</v>
      </c>
      <c r="G127" s="80" t="s">
        <v>137</v>
      </c>
      <c r="H127" s="79" t="s">
        <v>67</v>
      </c>
      <c r="I127" s="79">
        <v>76</v>
      </c>
      <c r="J127" s="81">
        <f>IF(C127="A+",10,IF(C127="A",6.31,IF(C127="B",3.98,IF(C127="C",2.51,IF(C127="D",1.59,IF(C127="D-",1,""))))))</f>
        <v>2.5099999999999998</v>
      </c>
      <c r="K127" s="81">
        <f>IF(E127="A+",10,IF(E127="A",6.31,IF(E127="B",3.98,IF(E127="C",2.51,IF(E127="D",1.59,IF(E127="D-",1,""))))))</f>
        <v>3.98</v>
      </c>
      <c r="L127" s="81">
        <f>IF(G127="A+",10,IF(G127="A",6.31,IF(G127="B",3.98,IF(G127="C",2.51,IF(G127="D",1.59,IF(G127="D-",1,""))))))</f>
        <v>2.5099999999999998</v>
      </c>
      <c r="M127" s="82">
        <f>IF(ISNUMBER(J127),J127/(J127+K127+L127),"")</f>
        <v>0.27888888888888885</v>
      </c>
      <c r="N127" s="83">
        <f>IF(ISNUMBER(M127),I127*(1+(1-M127)*0.475),"")</f>
        <v>102.03211111111111</v>
      </c>
    </row>
    <row r="128" spans="1:14" x14ac:dyDescent="0.2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84" t="s">
        <v>17</v>
      </c>
      <c r="N128" s="85">
        <f>IF(ISNUMBER(M127),AVERAGE(N124:N127),"")</f>
        <v>103.18658333333335</v>
      </c>
    </row>
    <row r="129" spans="1:14" x14ac:dyDescent="0.2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84" t="s">
        <v>18</v>
      </c>
      <c r="N129" s="85">
        <f>IF(ISNUMBER(N128),(N128-69.8)*(113/118),"")</f>
        <v>31.971897598870072</v>
      </c>
    </row>
    <row r="131" spans="1:14" x14ac:dyDescent="0.25">
      <c r="A131" s="2" t="s">
        <v>71</v>
      </c>
      <c r="B131" s="4">
        <v>1505</v>
      </c>
      <c r="C131" s="4"/>
      <c r="D131" s="2" t="s">
        <v>71</v>
      </c>
      <c r="E131" s="4"/>
      <c r="F131" s="2" t="s">
        <v>72</v>
      </c>
      <c r="G131" s="4"/>
      <c r="H131" s="2" t="s">
        <v>73</v>
      </c>
      <c r="I131" s="2">
        <v>67</v>
      </c>
      <c r="J131" s="5" t="str">
        <f>IF(C131="A+",10,IF(C131="A",6.31,IF(C131="B",3.98,IF(C131="C",2.51,IF(C131="D",1.59,IF(C131="D-",1,""))))))</f>
        <v/>
      </c>
      <c r="K131" s="5" t="str">
        <f>IF(E131="A+",10,IF(E131="A",6.31,IF(E131="B",3.98,IF(E131="C",2.51,IF(E131="D",1.59,IF(E131="D-",1,""))))))</f>
        <v/>
      </c>
      <c r="L131" s="5" t="str">
        <f>IF(G131="A+",10,IF(G131="A",6.31,IF(G131="B",3.98,IF(G131="C",2.51,IF(G131="D",1.59,IF(G131="D-",1,""))))))</f>
        <v/>
      </c>
      <c r="M131" s="6" t="str">
        <f>IF(ISNUMBER(J131),J131/(J131+K131+L131),"")</f>
        <v/>
      </c>
      <c r="N131" s="7" t="str">
        <f>IF(ISNUMBER(M131),I131*(1+(1-M131)*0.475),"")</f>
        <v/>
      </c>
    </row>
    <row r="132" spans="1:14" x14ac:dyDescent="0.25">
      <c r="M132" s="3" t="s">
        <v>17</v>
      </c>
      <c r="N132" s="8" t="str">
        <f>IF(ISNUMBER(M131),AVERAGE(N131:N131),"")</f>
        <v/>
      </c>
    </row>
    <row r="133" spans="1:14" x14ac:dyDescent="0.25">
      <c r="M133" s="3" t="s">
        <v>18</v>
      </c>
      <c r="N133" s="8" t="str">
        <f>IF(ISNUMBER(N132),(N132-69.8)*(113/118),"")</f>
        <v/>
      </c>
    </row>
    <row r="135" spans="1:14" x14ac:dyDescent="0.25">
      <c r="A135" s="2" t="s">
        <v>68</v>
      </c>
      <c r="B135" s="4">
        <v>1505</v>
      </c>
      <c r="C135" s="4"/>
      <c r="D135" s="2" t="s">
        <v>68</v>
      </c>
      <c r="E135" s="4"/>
      <c r="F135" s="2" t="s">
        <v>66</v>
      </c>
      <c r="G135" s="4"/>
      <c r="H135" s="2" t="s">
        <v>67</v>
      </c>
      <c r="I135" s="2">
        <v>74</v>
      </c>
      <c r="J135" s="5" t="str">
        <f>IF(C135="A+",10,IF(C135="A",6.31,IF(C135="B",3.98,IF(C135="C",2.51,IF(C135="D",1.59,IF(C135="D-",1,""))))))</f>
        <v/>
      </c>
      <c r="K135" s="5" t="str">
        <f>IF(E135="A+",10,IF(E135="A",6.31,IF(E135="B",3.98,IF(E135="C",2.51,IF(E135="D",1.59,IF(E135="D-",1,""))))))</f>
        <v/>
      </c>
      <c r="L135" s="5" t="str">
        <f>IF(G135="A+",10,IF(G135="A",6.31,IF(G135="B",3.98,IF(G135="C",2.51,IF(G135="D",1.59,IF(G135="D-",1,""))))))</f>
        <v/>
      </c>
      <c r="M135" s="6" t="str">
        <f>IF(ISNUMBER(J135),J135/(J135+K135+L135),"")</f>
        <v/>
      </c>
      <c r="N135" s="7" t="str">
        <f>IF(ISNUMBER(M135),I135*(1+(1-M135)*0.475),"")</f>
        <v/>
      </c>
    </row>
    <row r="136" spans="1:14" x14ac:dyDescent="0.25">
      <c r="B136" s="4">
        <v>1608</v>
      </c>
      <c r="C136" s="4"/>
      <c r="D136" s="2" t="s">
        <v>68</v>
      </c>
      <c r="E136" s="4"/>
      <c r="F136" s="2" t="s">
        <v>74</v>
      </c>
      <c r="G136" s="4"/>
      <c r="H136" s="2" t="s">
        <v>67</v>
      </c>
      <c r="I136" s="2">
        <v>70</v>
      </c>
      <c r="J136" s="5" t="str">
        <f>IF(C136="A+",10,IF(C136="A",6.31,IF(C136="B",3.98,IF(C136="C",2.51,IF(C136="D",1.59,IF(C136="D-",1,""))))))</f>
        <v/>
      </c>
      <c r="K136" s="5" t="str">
        <f>IF(E136="A+",10,IF(E136="A",6.31,IF(E136="B",3.98,IF(E136="C",2.51,IF(E136="D",1.59,IF(E136="D-",1,""))))))</f>
        <v/>
      </c>
      <c r="L136" s="5" t="str">
        <f>IF(G136="A+",10,IF(G136="A",6.31,IF(G136="B",3.98,IF(G136="C",2.51,IF(G136="D",1.59,IF(G136="D-",1,""))))))</f>
        <v/>
      </c>
      <c r="M136" s="6" t="str">
        <f>IF(ISNUMBER(J136),J136/(J136+K136+L136),"")</f>
        <v/>
      </c>
      <c r="N136" s="7" t="str">
        <f>IF(ISNUMBER(M136),I136*(1+(1-M136)*0.475),"")</f>
        <v/>
      </c>
    </row>
    <row r="137" spans="1:14" x14ac:dyDescent="0.25">
      <c r="B137" s="4">
        <v>1705</v>
      </c>
      <c r="C137" s="4"/>
      <c r="D137" s="2" t="s">
        <v>68</v>
      </c>
      <c r="E137" s="4"/>
      <c r="F137" s="2" t="s">
        <v>65</v>
      </c>
      <c r="G137" s="4"/>
      <c r="H137" s="2" t="s">
        <v>67</v>
      </c>
      <c r="I137" s="2">
        <v>77</v>
      </c>
      <c r="J137" s="5" t="str">
        <f>IF(C137="A+",10,IF(C137="A",6.31,IF(C137="B",3.98,IF(C137="C",2.51,IF(C137="D",1.59,IF(C137="D-",1,""))))))</f>
        <v/>
      </c>
      <c r="K137" s="5" t="str">
        <f>IF(E137="A+",10,IF(E137="A",6.31,IF(E137="B",3.98,IF(E137="C",2.51,IF(E137="D",1.59,IF(E137="D-",1,""))))))</f>
        <v/>
      </c>
      <c r="L137" s="5" t="str">
        <f>IF(G137="A+",10,IF(G137="A",6.31,IF(G137="B",3.98,IF(G137="C",2.51,IF(G137="D",1.59,IF(G137="D-",1,""))))))</f>
        <v/>
      </c>
      <c r="M137" s="6" t="str">
        <f>IF(ISNUMBER(J137),J137/(J137+K137+L137),"")</f>
        <v/>
      </c>
      <c r="N137" s="7" t="str">
        <f>IF(ISNUMBER(M137),I137*(1+(1-M137)*0.475),"")</f>
        <v/>
      </c>
    </row>
    <row r="138" spans="1:14" x14ac:dyDescent="0.25">
      <c r="M138" s="3" t="s">
        <v>17</v>
      </c>
      <c r="N138" s="8" t="str">
        <f>IF(ISNUMBER(M137),AVERAGE(N135:N137),"")</f>
        <v/>
      </c>
    </row>
    <row r="139" spans="1:14" x14ac:dyDescent="0.25">
      <c r="M139" s="3" t="s">
        <v>18</v>
      </c>
      <c r="N139" s="8" t="str">
        <f>IF(ISNUMBER(N138),(N138-69.8)*(113/118),"")</f>
        <v/>
      </c>
    </row>
    <row r="141" spans="1:14" x14ac:dyDescent="0.25">
      <c r="A141" s="2" t="s">
        <v>75</v>
      </c>
      <c r="B141" s="4">
        <v>1608</v>
      </c>
      <c r="C141" s="4"/>
      <c r="D141" s="2" t="s">
        <v>75</v>
      </c>
      <c r="E141" s="4"/>
      <c r="F141" s="2" t="s">
        <v>76</v>
      </c>
      <c r="G141" s="4"/>
      <c r="H141" s="2" t="s">
        <v>77</v>
      </c>
      <c r="I141" s="2">
        <v>84</v>
      </c>
      <c r="J141" s="5" t="str">
        <f>IF(C141="A+",10,IF(C141="A",6.31,IF(C141="B",3.98,IF(C141="C",2.51,IF(C141="D",1.59,IF(C141="D-",1,""))))))</f>
        <v/>
      </c>
      <c r="K141" s="5" t="str">
        <f>IF(E141="A+",10,IF(E141="A",6.31,IF(E141="B",3.98,IF(E141="C",2.51,IF(E141="D",1.59,IF(E141="D-",1,""))))))</f>
        <v/>
      </c>
      <c r="L141" s="5" t="str">
        <f>IF(G141="A+",10,IF(G141="A",6.31,IF(G141="B",3.98,IF(G141="C",2.51,IF(G141="D",1.59,IF(G141="D-",1,""))))))</f>
        <v/>
      </c>
      <c r="M141" s="6" t="str">
        <f>IF(ISNUMBER(J141),J141/(J141+K141+L141),"")</f>
        <v/>
      </c>
      <c r="N141" s="7" t="str">
        <f>IF(ISNUMBER(M141),I141*(1+(1-M141)*0.475),"")</f>
        <v/>
      </c>
    </row>
    <row r="142" spans="1:14" x14ac:dyDescent="0.25">
      <c r="M142" s="3" t="s">
        <v>17</v>
      </c>
      <c r="N142" s="8" t="str">
        <f>IF(ISNUMBER(M141),AVERAGE(N141:N141),"")</f>
        <v/>
      </c>
    </row>
    <row r="143" spans="1:14" x14ac:dyDescent="0.25">
      <c r="M143" s="3" t="s">
        <v>18</v>
      </c>
      <c r="N143" s="8" t="str">
        <f>IF(ISNUMBER(N142),(N142-69.8)*(113/118),"")</f>
        <v/>
      </c>
    </row>
    <row r="145" spans="1:14" x14ac:dyDescent="0.25">
      <c r="A145" s="2" t="s">
        <v>78</v>
      </c>
      <c r="B145" s="4">
        <v>1705</v>
      </c>
      <c r="C145" s="4"/>
      <c r="D145" s="2" t="s">
        <v>78</v>
      </c>
      <c r="E145" s="4"/>
      <c r="F145" s="2" t="s">
        <v>47</v>
      </c>
      <c r="G145" s="4"/>
      <c r="H145" s="2" t="s">
        <v>20</v>
      </c>
      <c r="I145" s="2">
        <v>75</v>
      </c>
      <c r="J145" s="5" t="str">
        <f>IF(C145="A+",10,IF(C145="A",6.31,IF(C145="B",3.98,IF(C145="C",2.51,IF(C145="D",1.59,IF(C145="D-",1,""))))))</f>
        <v/>
      </c>
      <c r="K145" s="5" t="str">
        <f>IF(E145="A+",10,IF(E145="A",6.31,IF(E145="B",3.98,IF(E145="C",2.51,IF(E145="D",1.59,IF(E145="D-",1,""))))))</f>
        <v/>
      </c>
      <c r="L145" s="5" t="str">
        <f>IF(G145="A+",10,IF(G145="A",6.31,IF(G145="B",3.98,IF(G145="C",2.51,IF(G145="D",1.59,IF(G145="D-",1,""))))))</f>
        <v/>
      </c>
      <c r="M145" s="6" t="str">
        <f>IF(ISNUMBER(J145),J145/(J145+K145+L145),"")</f>
        <v/>
      </c>
      <c r="N145" s="7" t="str">
        <f>IF(ISNUMBER(M145),I145*(1+(1-M145)*0.475),"")</f>
        <v/>
      </c>
    </row>
    <row r="146" spans="1:14" x14ac:dyDescent="0.25">
      <c r="M146" s="3" t="s">
        <v>17</v>
      </c>
      <c r="N146" s="8" t="str">
        <f>IF(ISNUMBER(M145),AVERAGE(N145:N145),"")</f>
        <v/>
      </c>
    </row>
    <row r="147" spans="1:14" x14ac:dyDescent="0.25">
      <c r="M147" s="3" t="s">
        <v>18</v>
      </c>
      <c r="N147" s="8" t="str">
        <f>IF(ISNUMBER(N146),(N146-69.8)*(113/118),"")</f>
        <v/>
      </c>
    </row>
    <row r="149" spans="1:14" x14ac:dyDescent="0.25">
      <c r="A149" s="11" t="s">
        <v>79</v>
      </c>
      <c r="B149" s="10">
        <v>1505</v>
      </c>
      <c r="C149" s="10" t="s">
        <v>137</v>
      </c>
      <c r="D149" s="11" t="s">
        <v>79</v>
      </c>
      <c r="E149" s="10" t="s">
        <v>137</v>
      </c>
      <c r="F149" s="11" t="s">
        <v>80</v>
      </c>
      <c r="G149" s="10" t="s">
        <v>137</v>
      </c>
      <c r="H149" s="11" t="s">
        <v>81</v>
      </c>
      <c r="I149" s="11">
        <v>81</v>
      </c>
      <c r="J149" s="12">
        <f>IF(C149="A+",10,IF(C149="A",6.31,IF(C149="B",3.98,IF(C149="C",2.51,IF(C149="D",1.59,IF(C149="D-",1,""))))))</f>
        <v>2.5099999999999998</v>
      </c>
      <c r="K149" s="12">
        <f>IF(E149="A+",10,IF(E149="A",6.31,IF(E149="B",3.98,IF(E149="C",2.51,IF(E149="D",1.59,IF(E149="D-",1,""))))))</f>
        <v>2.5099999999999998</v>
      </c>
      <c r="L149" s="12">
        <f>IF(G149="A+",10,IF(G149="A",6.31,IF(G149="B",3.98,IF(G149="C",2.51,IF(G149="D",1.59,IF(G149="D-",1,""))))))</f>
        <v>2.5099999999999998</v>
      </c>
      <c r="M149" s="13">
        <f>IF(ISNUMBER(J149),J149/(J149+K149+L149),"")</f>
        <v>0.33333333333333331</v>
      </c>
      <c r="N149" s="14">
        <f>IF(ISNUMBER(M149),I149*(1+(1-M149)*0.475),"")</f>
        <v>106.65</v>
      </c>
    </row>
    <row r="150" spans="1:14" x14ac:dyDescent="0.25">
      <c r="A150" s="11"/>
      <c r="B150" s="10">
        <v>1608</v>
      </c>
      <c r="C150" s="10" t="s">
        <v>137</v>
      </c>
      <c r="D150" s="11" t="s">
        <v>79</v>
      </c>
      <c r="E150" s="10" t="s">
        <v>137</v>
      </c>
      <c r="F150" s="11" t="s">
        <v>80</v>
      </c>
      <c r="G150" s="10" t="s">
        <v>137</v>
      </c>
      <c r="H150" s="11" t="s">
        <v>81</v>
      </c>
      <c r="I150" s="11">
        <v>84</v>
      </c>
      <c r="J150" s="12">
        <f>IF(C150="A+",10,IF(C150="A",6.31,IF(C150="B",3.98,IF(C150="C",2.51,IF(C150="D",1.59,IF(C150="D-",1,""))))))</f>
        <v>2.5099999999999998</v>
      </c>
      <c r="K150" s="12">
        <f>IF(E150="A+",10,IF(E150="A",6.31,IF(E150="B",3.98,IF(E150="C",2.51,IF(E150="D",1.59,IF(E150="D-",1,""))))))</f>
        <v>2.5099999999999998</v>
      </c>
      <c r="L150" s="12">
        <f>IF(G150="A+",10,IF(G150="A",6.31,IF(G150="B",3.98,IF(G150="C",2.51,IF(G150="D",1.59,IF(G150="D-",1,""))))))</f>
        <v>2.5099999999999998</v>
      </c>
      <c r="M150" s="13">
        <f>IF(ISNUMBER(J150),J150/(J150+K150+L150),"")</f>
        <v>0.33333333333333331</v>
      </c>
      <c r="N150" s="14">
        <f>IF(ISNUMBER(M150),I150*(1+(1-M150)*0.475),"")</f>
        <v>110.6</v>
      </c>
    </row>
    <row r="151" spans="1:14" x14ac:dyDescent="0.25">
      <c r="A151" s="11"/>
      <c r="B151" s="10">
        <v>1805</v>
      </c>
      <c r="C151" s="10" t="s">
        <v>137</v>
      </c>
      <c r="D151" s="11" t="s">
        <v>79</v>
      </c>
      <c r="E151" s="10" t="s">
        <v>137</v>
      </c>
      <c r="F151" s="11" t="s">
        <v>80</v>
      </c>
      <c r="G151" s="10" t="s">
        <v>137</v>
      </c>
      <c r="H151" s="11" t="s">
        <v>81</v>
      </c>
      <c r="I151" s="11">
        <v>78</v>
      </c>
      <c r="J151" s="12">
        <f>IF(C151="A+",10,IF(C151="A",6.31,IF(C151="B",3.98,IF(C151="C",2.51,IF(C151="D",1.59,IF(C151="D-",1,""))))))</f>
        <v>2.5099999999999998</v>
      </c>
      <c r="K151" s="12">
        <f>IF(E151="A+",10,IF(E151="A",6.31,IF(E151="B",3.98,IF(E151="C",2.51,IF(E151="D",1.59,IF(E151="D-",1,""))))))</f>
        <v>2.5099999999999998</v>
      </c>
      <c r="L151" s="12">
        <f>IF(G151="A+",10,IF(G151="A",6.31,IF(G151="B",3.98,IF(G151="C",2.51,IF(G151="D",1.59,IF(G151="D-",1,""))))))</f>
        <v>2.5099999999999998</v>
      </c>
      <c r="M151" s="13">
        <f>IF(ISNUMBER(J151),J151/(J151+K151+L151),"")</f>
        <v>0.33333333333333331</v>
      </c>
      <c r="N151" s="14">
        <f>IF(ISNUMBER(M151),I151*(1+(1-M151)*0.475),"")</f>
        <v>102.7</v>
      </c>
    </row>
    <row r="152" spans="1:14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9" t="s">
        <v>17</v>
      </c>
      <c r="N152" s="15">
        <f>IF(ISNUMBER(M151),AVERAGE(N149:N151),"")</f>
        <v>106.64999999999999</v>
      </c>
    </row>
    <row r="153" spans="1:14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9" t="s">
        <v>18</v>
      </c>
      <c r="N153" s="15">
        <f>IF(ISNUMBER(N152),(N152-69.8)*(113/118),"")</f>
        <v>35.28855932203389</v>
      </c>
    </row>
    <row r="155" spans="1:14" x14ac:dyDescent="0.25">
      <c r="A155" s="79" t="s">
        <v>76</v>
      </c>
      <c r="B155" s="80">
        <v>1608</v>
      </c>
      <c r="C155" s="80" t="s">
        <v>138</v>
      </c>
      <c r="D155" s="79" t="s">
        <v>76</v>
      </c>
      <c r="E155" s="80" t="s">
        <v>137</v>
      </c>
      <c r="F155" s="79" t="s">
        <v>75</v>
      </c>
      <c r="G155" s="80" t="s">
        <v>135</v>
      </c>
      <c r="H155" s="79" t="s">
        <v>77</v>
      </c>
      <c r="I155" s="79">
        <v>84</v>
      </c>
      <c r="J155" s="81">
        <f>IF(C155="A+",10,IF(C155="A",6.31,IF(C155="B",3.98,IF(C155="C",2.51,IF(C155="D",1.59,IF(C155="D-",1,""))))))</f>
        <v>1.59</v>
      </c>
      <c r="K155" s="81">
        <f>IF(E155="A+",10,IF(E155="A",6.31,IF(E155="B",3.98,IF(E155="C",2.51,IF(E155="D",1.59,IF(E155="D-",1,""))))))</f>
        <v>2.5099999999999998</v>
      </c>
      <c r="L155" s="81">
        <f>IF(G155="A+",10,IF(G155="A",6.31,IF(G155="B",3.98,IF(G155="C",2.51,IF(G155="D",1.59,IF(G155="D-",1,""))))))</f>
        <v>3.98</v>
      </c>
      <c r="M155" s="82">
        <f>IF(ISNUMBER(J155),J155/(J155+K155+L155),"")</f>
        <v>0.19678217821782179</v>
      </c>
      <c r="N155" s="83">
        <f>IF(ISNUMBER(M155),I155*(1+(1-M155)*0.475),"")</f>
        <v>116.0483910891089</v>
      </c>
    </row>
    <row r="156" spans="1:14" x14ac:dyDescent="0.2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84" t="s">
        <v>17</v>
      </c>
      <c r="N156" s="85">
        <f>IF(ISNUMBER(M155),AVERAGE(N155:N155),"")</f>
        <v>116.0483910891089</v>
      </c>
    </row>
    <row r="157" spans="1:14" x14ac:dyDescent="0.2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84" t="s">
        <v>18</v>
      </c>
      <c r="N157" s="85">
        <f>IF(ISNUMBER(N156),(N156-69.8)*(113/118),"")</f>
        <v>44.288713500587342</v>
      </c>
    </row>
    <row r="159" spans="1:14" x14ac:dyDescent="0.25">
      <c r="A159" s="79" t="s">
        <v>82</v>
      </c>
      <c r="B159" s="80">
        <v>1608</v>
      </c>
      <c r="C159" s="80" t="s">
        <v>136</v>
      </c>
      <c r="D159" s="79" t="s">
        <v>82</v>
      </c>
      <c r="E159" s="80" t="s">
        <v>135</v>
      </c>
      <c r="F159" s="79" t="s">
        <v>27</v>
      </c>
      <c r="G159" s="80" t="s">
        <v>138</v>
      </c>
      <c r="H159" s="79" t="s">
        <v>83</v>
      </c>
      <c r="I159" s="79">
        <v>73</v>
      </c>
      <c r="J159" s="81">
        <f>IF(C159="A+",10,IF(C159="A",6.31,IF(C159="B",3.98,IF(C159="C",2.51,IF(C159="D",1.59,IF(C159="D-",1,""))))))</f>
        <v>6.31</v>
      </c>
      <c r="K159" s="81">
        <f>IF(E159="A+",10,IF(E159="A",6.31,IF(E159="B",3.98,IF(E159="C",2.51,IF(E159="D",1.59,IF(E159="D-",1,""))))))</f>
        <v>3.98</v>
      </c>
      <c r="L159" s="81">
        <f>IF(G159="A+",10,IF(G159="A",6.31,IF(G159="B",3.98,IF(G159="C",2.51,IF(G159="D",1.59,IF(G159="D-",1,""))))))</f>
        <v>1.59</v>
      </c>
      <c r="M159" s="82">
        <f>IF(ISNUMBER(J159),J159/(J159+K159+L159),"")</f>
        <v>0.53114478114478114</v>
      </c>
      <c r="N159" s="83">
        <f>IF(ISNUMBER(M159),I159*(1+(1-M159)*0.475),"")</f>
        <v>89.257554713804709</v>
      </c>
    </row>
    <row r="160" spans="1:14" x14ac:dyDescent="0.25">
      <c r="A160" s="79"/>
      <c r="B160" s="80">
        <v>1705</v>
      </c>
      <c r="C160" s="80" t="s">
        <v>136</v>
      </c>
      <c r="D160" s="79" t="s">
        <v>82</v>
      </c>
      <c r="E160" s="80" t="s">
        <v>135</v>
      </c>
      <c r="F160" s="79" t="s">
        <v>27</v>
      </c>
      <c r="G160" s="80" t="s">
        <v>138</v>
      </c>
      <c r="H160" s="79" t="s">
        <v>83</v>
      </c>
      <c r="I160" s="79">
        <v>75</v>
      </c>
      <c r="J160" s="81">
        <f>IF(C160="A+",10,IF(C160="A",6.31,IF(C160="B",3.98,IF(C160="C",2.51,IF(C160="D",1.59,IF(C160="D-",1,""))))))</f>
        <v>6.31</v>
      </c>
      <c r="K160" s="81">
        <f>IF(E160="A+",10,IF(E160="A",6.31,IF(E160="B",3.98,IF(E160="C",2.51,IF(E160="D",1.59,IF(E160="D-",1,""))))))</f>
        <v>3.98</v>
      </c>
      <c r="L160" s="81">
        <f>IF(G160="A+",10,IF(G160="A",6.31,IF(G160="B",3.98,IF(G160="C",2.51,IF(G160="D",1.59,IF(G160="D-",1,""))))))</f>
        <v>1.59</v>
      </c>
      <c r="M160" s="82">
        <f>IF(ISNUMBER(J160),J160/(J160+K160+L160),"")</f>
        <v>0.53114478114478114</v>
      </c>
      <c r="N160" s="83">
        <f>IF(ISNUMBER(M160),I160*(1+(1-M160)*0.475),"")</f>
        <v>91.702967171717177</v>
      </c>
    </row>
    <row r="161" spans="1:14" x14ac:dyDescent="0.25">
      <c r="A161" s="79"/>
      <c r="B161" s="80">
        <v>1906</v>
      </c>
      <c r="C161" s="80" t="s">
        <v>136</v>
      </c>
      <c r="D161" s="79" t="s">
        <v>82</v>
      </c>
      <c r="E161" s="80" t="s">
        <v>135</v>
      </c>
      <c r="F161" s="79" t="s">
        <v>27</v>
      </c>
      <c r="G161" s="80" t="s">
        <v>137</v>
      </c>
      <c r="H161" s="79" t="s">
        <v>77</v>
      </c>
      <c r="I161" s="79">
        <v>77</v>
      </c>
      <c r="J161" s="81">
        <f>IF(C161="A+",10,IF(C161="A",6.31,IF(C161="B",3.98,IF(C161="C",2.51,IF(C161="D",1.59,IF(C161="D-",1,""))))))</f>
        <v>6.31</v>
      </c>
      <c r="K161" s="81">
        <f>IF(E161="A+",10,IF(E161="A",6.31,IF(E161="B",3.98,IF(E161="C",2.51,IF(E161="D",1.59,IF(E161="D-",1,""))))))</f>
        <v>3.98</v>
      </c>
      <c r="L161" s="81">
        <f>IF(G161="A+",10,IF(G161="A",6.31,IF(G161="B",3.98,IF(G161="C",2.51,IF(G161="D",1.59,IF(G161="D-",1,""))))))</f>
        <v>2.5099999999999998</v>
      </c>
      <c r="M161" s="82">
        <f>IF(ISNUMBER(J161),J161/(J161+K161+L161),"")</f>
        <v>0.49296875000000001</v>
      </c>
      <c r="N161" s="83">
        <f>IF(ISNUMBER(M161),I161*(1+(1-M161)*0.475),"")</f>
        <v>95.544667968749991</v>
      </c>
    </row>
    <row r="162" spans="1:14" x14ac:dyDescent="0.25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84" t="s">
        <v>17</v>
      </c>
      <c r="N162" s="85">
        <f>IF(ISNUMBER(M161),AVERAGE(N159:N161),"")</f>
        <v>92.168396618090625</v>
      </c>
    </row>
    <row r="163" spans="1:14" x14ac:dyDescent="0.25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84" t="s">
        <v>18</v>
      </c>
      <c r="N163" s="85">
        <f>IF(ISNUMBER(N162),(N162-69.8)*(113/118),"")</f>
        <v>21.420583202069839</v>
      </c>
    </row>
    <row r="165" spans="1:14" x14ac:dyDescent="0.25">
      <c r="A165" s="79" t="s">
        <v>72</v>
      </c>
      <c r="B165" s="80">
        <v>1505</v>
      </c>
      <c r="C165" s="80" t="s">
        <v>137</v>
      </c>
      <c r="D165" s="79" t="s">
        <v>72</v>
      </c>
      <c r="E165" s="80" t="s">
        <v>136</v>
      </c>
      <c r="F165" s="79" t="s">
        <v>71</v>
      </c>
      <c r="G165" s="80" t="s">
        <v>135</v>
      </c>
      <c r="H165" s="79" t="s">
        <v>73</v>
      </c>
      <c r="I165" s="79">
        <v>67</v>
      </c>
      <c r="J165" s="81">
        <f>IF(C165="A+",10,IF(C165="A",6.31,IF(C165="B",3.98,IF(C165="C",2.51,IF(C165="D",1.59,IF(C165="D-",1,""))))))</f>
        <v>2.5099999999999998</v>
      </c>
      <c r="K165" s="81">
        <f>IF(E165="A+",10,IF(E165="A",6.31,IF(E165="B",3.98,IF(E165="C",2.51,IF(E165="D",1.59,IF(E165="D-",1,""))))))</f>
        <v>6.31</v>
      </c>
      <c r="L165" s="81">
        <f>IF(G165="A+",10,IF(G165="A",6.31,IF(G165="B",3.98,IF(G165="C",2.51,IF(G165="D",1.59,IF(G165="D-",1,""))))))</f>
        <v>3.98</v>
      </c>
      <c r="M165" s="82">
        <f>IF(ISNUMBER(J165),J165/(J165+K165+L165),"")</f>
        <v>0.19609374999999998</v>
      </c>
      <c r="N165" s="83">
        <f>IF(ISNUMBER(M165),I165*(1+(1-M165)*0.475),"")</f>
        <v>92.584316406249997</v>
      </c>
    </row>
    <row r="166" spans="1:14" x14ac:dyDescent="0.25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84" t="s">
        <v>17</v>
      </c>
      <c r="N166" s="85">
        <f>IF(ISNUMBER(M165),AVERAGE(N165:N165),"")</f>
        <v>92.584316406249997</v>
      </c>
    </row>
    <row r="167" spans="1:14" x14ac:dyDescent="0.25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84" t="s">
        <v>18</v>
      </c>
      <c r="N167" s="85">
        <f>IF(ISNUMBER(N166),(N166-69.8)*(113/118),"")</f>
        <v>21.81887927039195</v>
      </c>
    </row>
    <row r="169" spans="1:14" x14ac:dyDescent="0.25">
      <c r="A169" s="11" t="s">
        <v>84</v>
      </c>
      <c r="B169" s="10">
        <v>1505</v>
      </c>
      <c r="C169" s="10" t="s">
        <v>135</v>
      </c>
      <c r="D169" s="11" t="s">
        <v>84</v>
      </c>
      <c r="E169" s="10" t="s">
        <v>137</v>
      </c>
      <c r="F169" s="11" t="s">
        <v>85</v>
      </c>
      <c r="G169" s="10" t="s">
        <v>138</v>
      </c>
      <c r="H169" s="11" t="s">
        <v>86</v>
      </c>
      <c r="I169" s="11">
        <v>79</v>
      </c>
      <c r="J169" s="12">
        <f t="shared" ref="J169:J174" si="14">IF(C169="A+",10,IF(C169="A",6.31,IF(C169="B",3.98,IF(C169="C",2.51,IF(C169="D",1.59,IF(C169="D-",1,""))))))</f>
        <v>3.98</v>
      </c>
      <c r="K169" s="12">
        <f t="shared" ref="K169:K174" si="15">IF(E169="A+",10,IF(E169="A",6.31,IF(E169="B",3.98,IF(E169="C",2.51,IF(E169="D",1.59,IF(E169="D-",1,""))))))</f>
        <v>2.5099999999999998</v>
      </c>
      <c r="L169" s="12">
        <f t="shared" ref="L169:L174" si="16">IF(G169="A+",10,IF(G169="A",6.31,IF(G169="B",3.98,IF(G169="C",2.51,IF(G169="D",1.59,IF(G169="D-",1,""))))))</f>
        <v>1.59</v>
      </c>
      <c r="M169" s="13">
        <f t="shared" ref="M169:M174" si="17">IF(ISNUMBER(J169),J169/(J169+K169+L169),"")</f>
        <v>0.49257425742574257</v>
      </c>
      <c r="N169" s="14">
        <f t="shared" ref="N169:N174" si="18">IF(ISNUMBER(M169),I169*(1+(1-M169)*0.475),"")</f>
        <v>98.041150990099013</v>
      </c>
    </row>
    <row r="170" spans="1:14" x14ac:dyDescent="0.25">
      <c r="A170" s="11"/>
      <c r="B170" s="10">
        <v>1508</v>
      </c>
      <c r="C170" s="10" t="s">
        <v>135</v>
      </c>
      <c r="D170" s="11" t="s">
        <v>84</v>
      </c>
      <c r="E170" s="10" t="s">
        <v>137</v>
      </c>
      <c r="F170" s="11" t="s">
        <v>85</v>
      </c>
      <c r="G170" s="10" t="s">
        <v>138</v>
      </c>
      <c r="H170" s="11" t="s">
        <v>86</v>
      </c>
      <c r="I170" s="11">
        <v>75</v>
      </c>
      <c r="J170" s="12">
        <f t="shared" si="14"/>
        <v>3.98</v>
      </c>
      <c r="K170" s="12">
        <f t="shared" si="15"/>
        <v>2.5099999999999998</v>
      </c>
      <c r="L170" s="12">
        <f t="shared" si="16"/>
        <v>1.59</v>
      </c>
      <c r="M170" s="13">
        <f t="shared" si="17"/>
        <v>0.49257425742574257</v>
      </c>
      <c r="N170" s="14">
        <f t="shared" si="18"/>
        <v>93.077042079207928</v>
      </c>
    </row>
    <row r="171" spans="1:14" x14ac:dyDescent="0.25">
      <c r="A171" s="11"/>
      <c r="B171" s="10">
        <v>1608</v>
      </c>
      <c r="C171" s="10" t="s">
        <v>135</v>
      </c>
      <c r="D171" s="11" t="s">
        <v>84</v>
      </c>
      <c r="E171" s="10" t="s">
        <v>137</v>
      </c>
      <c r="F171" s="11" t="s">
        <v>85</v>
      </c>
      <c r="G171" s="10" t="s">
        <v>138</v>
      </c>
      <c r="H171" s="11" t="s">
        <v>86</v>
      </c>
      <c r="I171" s="11">
        <v>77</v>
      </c>
      <c r="J171" s="12">
        <f t="shared" si="14"/>
        <v>3.98</v>
      </c>
      <c r="K171" s="12">
        <f t="shared" si="15"/>
        <v>2.5099999999999998</v>
      </c>
      <c r="L171" s="12">
        <f t="shared" si="16"/>
        <v>1.59</v>
      </c>
      <c r="M171" s="13">
        <f t="shared" si="17"/>
        <v>0.49257425742574257</v>
      </c>
      <c r="N171" s="14">
        <f t="shared" si="18"/>
        <v>95.559096534653463</v>
      </c>
    </row>
    <row r="172" spans="1:14" x14ac:dyDescent="0.25">
      <c r="A172" s="11"/>
      <c r="B172" s="10">
        <v>1705</v>
      </c>
      <c r="C172" s="10" t="s">
        <v>135</v>
      </c>
      <c r="D172" s="11" t="s">
        <v>84</v>
      </c>
      <c r="E172" s="10" t="s">
        <v>137</v>
      </c>
      <c r="F172" s="11" t="s">
        <v>85</v>
      </c>
      <c r="G172" s="10" t="s">
        <v>138</v>
      </c>
      <c r="H172" s="11" t="s">
        <v>86</v>
      </c>
      <c r="I172" s="11">
        <v>70</v>
      </c>
      <c r="J172" s="12">
        <f t="shared" si="14"/>
        <v>3.98</v>
      </c>
      <c r="K172" s="12">
        <f t="shared" si="15"/>
        <v>2.5099999999999998</v>
      </c>
      <c r="L172" s="12">
        <f t="shared" si="16"/>
        <v>1.59</v>
      </c>
      <c r="M172" s="13">
        <f t="shared" si="17"/>
        <v>0.49257425742574257</v>
      </c>
      <c r="N172" s="14">
        <f t="shared" si="18"/>
        <v>86.871905940594061</v>
      </c>
    </row>
    <row r="173" spans="1:14" x14ac:dyDescent="0.25">
      <c r="A173" s="11"/>
      <c r="B173" s="10">
        <v>1805</v>
      </c>
      <c r="C173" s="10" t="s">
        <v>135</v>
      </c>
      <c r="D173" s="11" t="s">
        <v>84</v>
      </c>
      <c r="E173" s="10" t="s">
        <v>137</v>
      </c>
      <c r="F173" s="11" t="s">
        <v>86</v>
      </c>
      <c r="G173" s="10" t="s">
        <v>135</v>
      </c>
      <c r="H173" s="11" t="s">
        <v>87</v>
      </c>
      <c r="I173" s="11">
        <v>70</v>
      </c>
      <c r="J173" s="12">
        <f t="shared" si="14"/>
        <v>3.98</v>
      </c>
      <c r="K173" s="12">
        <f t="shared" si="15"/>
        <v>2.5099999999999998</v>
      </c>
      <c r="L173" s="12">
        <f t="shared" si="16"/>
        <v>3.98</v>
      </c>
      <c r="M173" s="13">
        <f t="shared" si="17"/>
        <v>0.38013371537726837</v>
      </c>
      <c r="N173" s="14">
        <f t="shared" si="18"/>
        <v>90.610553963705826</v>
      </c>
    </row>
    <row r="174" spans="1:14" x14ac:dyDescent="0.25">
      <c r="A174" s="11"/>
      <c r="B174" s="10">
        <v>1808</v>
      </c>
      <c r="C174" s="10" t="s">
        <v>135</v>
      </c>
      <c r="D174" s="11" t="s">
        <v>84</v>
      </c>
      <c r="E174" s="10" t="s">
        <v>137</v>
      </c>
      <c r="F174" s="11" t="s">
        <v>85</v>
      </c>
      <c r="G174" s="10" t="s">
        <v>138</v>
      </c>
      <c r="H174" s="11" t="s">
        <v>86</v>
      </c>
      <c r="I174" s="11">
        <v>68</v>
      </c>
      <c r="J174" s="12">
        <f t="shared" si="14"/>
        <v>3.98</v>
      </c>
      <c r="K174" s="12">
        <f t="shared" si="15"/>
        <v>2.5099999999999998</v>
      </c>
      <c r="L174" s="12">
        <f t="shared" si="16"/>
        <v>1.59</v>
      </c>
      <c r="M174" s="13">
        <f t="shared" si="17"/>
        <v>0.49257425742574257</v>
      </c>
      <c r="N174" s="14">
        <f t="shared" si="18"/>
        <v>84.389851485148512</v>
      </c>
    </row>
    <row r="175" spans="1:14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9" t="s">
        <v>17</v>
      </c>
      <c r="N175" s="15">
        <f>IF(ISNUMBER(M174),AVERAGE(N169:N174),"")</f>
        <v>91.424933498901453</v>
      </c>
    </row>
    <row r="176" spans="1:14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9" t="s">
        <v>18</v>
      </c>
      <c r="N176" s="15">
        <f>IF(ISNUMBER(N175),(N175-69.8)*(113/118),"")</f>
        <v>20.708622757422582</v>
      </c>
    </row>
    <row r="178" spans="1:14" x14ac:dyDescent="0.25">
      <c r="A178" s="2" t="s">
        <v>88</v>
      </c>
      <c r="B178" s="4">
        <v>1505</v>
      </c>
      <c r="C178" s="4"/>
      <c r="D178" s="2" t="s">
        <v>88</v>
      </c>
      <c r="E178" s="4"/>
      <c r="F178" s="2" t="s">
        <v>89</v>
      </c>
      <c r="G178" s="4"/>
      <c r="H178" s="2" t="s">
        <v>90</v>
      </c>
      <c r="I178" s="2">
        <v>67</v>
      </c>
      <c r="J178" s="5" t="str">
        <f>IF(C178="A+",10,IF(C178="A",6.31,IF(C178="B",3.98,IF(C178="C",2.51,IF(C178="D",1.59,IF(C178="D-",1,""))))))</f>
        <v/>
      </c>
      <c r="K178" s="5" t="str">
        <f>IF(E178="A+",10,IF(E178="A",6.31,IF(E178="B",3.98,IF(E178="C",2.51,IF(E178="D",1.59,IF(E178="D-",1,""))))))</f>
        <v/>
      </c>
      <c r="L178" s="5" t="str">
        <f>IF(G178="A+",10,IF(G178="A",6.31,IF(G178="B",3.98,IF(G178="C",2.51,IF(G178="D",1.59,IF(G178="D-",1,""))))))</f>
        <v/>
      </c>
      <c r="M178" s="6" t="str">
        <f>IF(ISNUMBER(J178),J178/(J178+K178+L178),"")</f>
        <v/>
      </c>
      <c r="N178" s="7" t="str">
        <f>IF(ISNUMBER(M178),I178*(1+(1-M178)*0.475),"")</f>
        <v/>
      </c>
    </row>
    <row r="179" spans="1:14" x14ac:dyDescent="0.25">
      <c r="B179" s="4">
        <v>1508</v>
      </c>
      <c r="C179" s="4"/>
      <c r="D179" s="2" t="s">
        <v>88</v>
      </c>
      <c r="E179" s="4"/>
      <c r="F179" s="2" t="s">
        <v>89</v>
      </c>
      <c r="G179" s="4"/>
      <c r="H179" s="2" t="s">
        <v>90</v>
      </c>
      <c r="I179" s="2">
        <v>64</v>
      </c>
      <c r="J179" s="5" t="str">
        <f>IF(C179="A+",10,IF(C179="A",6.31,IF(C179="B",3.98,IF(C179="C",2.51,IF(C179="D",1.59,IF(C179="D-",1,""))))))</f>
        <v/>
      </c>
      <c r="K179" s="5" t="str">
        <f>IF(E179="A+",10,IF(E179="A",6.31,IF(E179="B",3.98,IF(E179="C",2.51,IF(E179="D",1.59,IF(E179="D-",1,""))))))</f>
        <v/>
      </c>
      <c r="L179" s="5" t="str">
        <f>IF(G179="A+",10,IF(G179="A",6.31,IF(G179="B",3.98,IF(G179="C",2.51,IF(G179="D",1.59,IF(G179="D-",1,""))))))</f>
        <v/>
      </c>
      <c r="M179" s="6" t="str">
        <f>IF(ISNUMBER(J179),J179/(J179+K179+L179),"")</f>
        <v/>
      </c>
      <c r="N179" s="7" t="str">
        <f>IF(ISNUMBER(M179),I179*(1+(1-M179)*0.475),"")</f>
        <v/>
      </c>
    </row>
    <row r="180" spans="1:14" x14ac:dyDescent="0.25">
      <c r="M180" s="3" t="s">
        <v>17</v>
      </c>
      <c r="N180" s="8" t="str">
        <f>IF(ISNUMBER(M179),AVERAGE(N178:N179),"")</f>
        <v/>
      </c>
    </row>
    <row r="181" spans="1:14" x14ac:dyDescent="0.25">
      <c r="M181" s="3" t="s">
        <v>18</v>
      </c>
      <c r="N181" s="8" t="str">
        <f>IF(ISNUMBER(N180),(N180-69.8)*(113/118),"")</f>
        <v/>
      </c>
    </row>
    <row r="183" spans="1:14" x14ac:dyDescent="0.25">
      <c r="A183" s="2" t="s">
        <v>73</v>
      </c>
      <c r="B183" s="4">
        <v>1505</v>
      </c>
      <c r="C183" s="4"/>
      <c r="D183" s="2" t="s">
        <v>73</v>
      </c>
      <c r="E183" s="4"/>
      <c r="F183" s="2" t="s">
        <v>71</v>
      </c>
      <c r="G183" s="4"/>
      <c r="H183" s="2" t="s">
        <v>72</v>
      </c>
      <c r="I183" s="2">
        <v>67</v>
      </c>
      <c r="J183" s="5" t="str">
        <f>IF(C183="A+",10,IF(C183="A",6.31,IF(C183="B",3.98,IF(C183="C",2.51,IF(C183="D",1.59,IF(C183="D-",1,""))))))</f>
        <v/>
      </c>
      <c r="K183" s="5" t="str">
        <f>IF(E183="A+",10,IF(E183="A",6.31,IF(E183="B",3.98,IF(E183="C",2.51,IF(E183="D",1.59,IF(E183="D-",1,""))))))</f>
        <v/>
      </c>
      <c r="L183" s="5" t="str">
        <f>IF(G183="A+",10,IF(G183="A",6.31,IF(G183="B",3.98,IF(G183="C",2.51,IF(G183="D",1.59,IF(G183="D-",1,""))))))</f>
        <v/>
      </c>
      <c r="M183" s="6" t="str">
        <f>IF(ISNUMBER(J183),J183/(J183+K183+L183),"")</f>
        <v/>
      </c>
      <c r="N183" s="7" t="str">
        <f>IF(ISNUMBER(M183),I183*(1+(1-M183)*0.475),"")</f>
        <v/>
      </c>
    </row>
    <row r="184" spans="1:14" x14ac:dyDescent="0.25">
      <c r="B184" s="4">
        <v>1608</v>
      </c>
      <c r="C184" s="4"/>
      <c r="D184" s="2" t="s">
        <v>73</v>
      </c>
      <c r="E184" s="4"/>
      <c r="F184" s="2" t="s">
        <v>91</v>
      </c>
      <c r="G184" s="4"/>
      <c r="H184" s="2" t="s">
        <v>92</v>
      </c>
      <c r="I184" s="2">
        <v>65</v>
      </c>
      <c r="J184" s="5" t="str">
        <f>IF(C184="A+",10,IF(C184="A",6.31,IF(C184="B",3.98,IF(C184="C",2.51,IF(C184="D",1.59,IF(C184="D-",1,""))))))</f>
        <v/>
      </c>
      <c r="K184" s="5" t="str">
        <f>IF(E184="A+",10,IF(E184="A",6.31,IF(E184="B",3.98,IF(E184="C",2.51,IF(E184="D",1.59,IF(E184="D-",1,""))))))</f>
        <v/>
      </c>
      <c r="L184" s="5" t="str">
        <f>IF(G184="A+",10,IF(G184="A",6.31,IF(G184="B",3.98,IF(G184="C",2.51,IF(G184="D",1.59,IF(G184="D-",1,""))))))</f>
        <v/>
      </c>
      <c r="M184" s="6" t="str">
        <f>IF(ISNUMBER(J184),J184/(J184+K184+L184),"")</f>
        <v/>
      </c>
      <c r="N184" s="7" t="str">
        <f>IF(ISNUMBER(M184),I184*(1+(1-M184)*0.475),"")</f>
        <v/>
      </c>
    </row>
    <row r="185" spans="1:14" x14ac:dyDescent="0.25">
      <c r="M185" s="3" t="s">
        <v>17</v>
      </c>
      <c r="N185" s="8" t="str">
        <f>IF(ISNUMBER(M184),AVERAGE(N183:N184),"")</f>
        <v/>
      </c>
    </row>
    <row r="186" spans="1:14" x14ac:dyDescent="0.25">
      <c r="M186" s="3" t="s">
        <v>18</v>
      </c>
      <c r="N186" s="8" t="str">
        <f>IF(ISNUMBER(N185),(N185-69.8)*(113/118),"")</f>
        <v/>
      </c>
    </row>
    <row r="188" spans="1:14" x14ac:dyDescent="0.25">
      <c r="A188" s="11" t="s">
        <v>85</v>
      </c>
      <c r="B188" s="10">
        <v>1505</v>
      </c>
      <c r="C188" s="10" t="s">
        <v>137</v>
      </c>
      <c r="D188" s="11" t="s">
        <v>85</v>
      </c>
      <c r="E188" s="10" t="s">
        <v>135</v>
      </c>
      <c r="F188" s="11" t="s">
        <v>84</v>
      </c>
      <c r="G188" s="10" t="s">
        <v>138</v>
      </c>
      <c r="H188" s="11" t="s">
        <v>86</v>
      </c>
      <c r="I188" s="11">
        <v>79</v>
      </c>
      <c r="J188" s="12">
        <f>IF(C188="A+",10,IF(C188="A",6.31,IF(C188="B",3.98,IF(C188="C",2.51,IF(C188="D",1.59,IF(C188="D-",1,""))))))</f>
        <v>2.5099999999999998</v>
      </c>
      <c r="K188" s="12">
        <f>IF(E188="A+",10,IF(E188="A",6.31,IF(E188="B",3.98,IF(E188="C",2.51,IF(E188="D",1.59,IF(E188="D-",1,""))))))</f>
        <v>3.98</v>
      </c>
      <c r="L188" s="12">
        <f>IF(G188="A+",10,IF(G188="A",6.31,IF(G188="B",3.98,IF(G188="C",2.51,IF(G188="D",1.59,IF(G188="D-",1,""))))))</f>
        <v>1.59</v>
      </c>
      <c r="M188" s="13">
        <f>IF(ISNUMBER(J188),J188/(J188+K188+L188),"")</f>
        <v>0.31064356435643564</v>
      </c>
      <c r="N188" s="14">
        <f>IF(ISNUMBER(M188),I188*(1+(1-M188)*0.475),"")</f>
        <v>104.86810024752477</v>
      </c>
    </row>
    <row r="189" spans="1:14" x14ac:dyDescent="0.25">
      <c r="A189" s="11"/>
      <c r="B189" s="10">
        <v>1508</v>
      </c>
      <c r="C189" s="10" t="s">
        <v>137</v>
      </c>
      <c r="D189" s="11" t="s">
        <v>85</v>
      </c>
      <c r="E189" s="10" t="s">
        <v>135</v>
      </c>
      <c r="F189" s="11" t="s">
        <v>84</v>
      </c>
      <c r="G189" s="10" t="s">
        <v>138</v>
      </c>
      <c r="H189" s="11" t="s">
        <v>86</v>
      </c>
      <c r="I189" s="11">
        <v>75</v>
      </c>
      <c r="J189" s="12">
        <f>IF(C189="A+",10,IF(C189="A",6.31,IF(C189="B",3.98,IF(C189="C",2.51,IF(C189="D",1.59,IF(C189="D-",1,""))))))</f>
        <v>2.5099999999999998</v>
      </c>
      <c r="K189" s="12">
        <f>IF(E189="A+",10,IF(E189="A",6.31,IF(E189="B",3.98,IF(E189="C",2.51,IF(E189="D",1.59,IF(E189="D-",1,""))))))</f>
        <v>3.98</v>
      </c>
      <c r="L189" s="12">
        <f>IF(G189="A+",10,IF(G189="A",6.31,IF(G189="B",3.98,IF(G189="C",2.51,IF(G189="D",1.59,IF(G189="D-",1,""))))))</f>
        <v>1.59</v>
      </c>
      <c r="M189" s="13">
        <f>IF(ISNUMBER(J189),J189/(J189+K189+L189),"")</f>
        <v>0.31064356435643564</v>
      </c>
      <c r="N189" s="14">
        <f>IF(ISNUMBER(M189),I189*(1+(1-M189)*0.475),"")</f>
        <v>99.558323019801989</v>
      </c>
    </row>
    <row r="190" spans="1:14" x14ac:dyDescent="0.25">
      <c r="A190" s="11"/>
      <c r="B190" s="10">
        <v>1608</v>
      </c>
      <c r="C190" s="10" t="s">
        <v>137</v>
      </c>
      <c r="D190" s="11" t="s">
        <v>85</v>
      </c>
      <c r="E190" s="10" t="s">
        <v>135</v>
      </c>
      <c r="F190" s="11" t="s">
        <v>84</v>
      </c>
      <c r="G190" s="10" t="s">
        <v>138</v>
      </c>
      <c r="H190" s="11" t="s">
        <v>86</v>
      </c>
      <c r="I190" s="11">
        <v>77</v>
      </c>
      <c r="J190" s="12">
        <f>IF(C190="A+",10,IF(C190="A",6.31,IF(C190="B",3.98,IF(C190="C",2.51,IF(C190="D",1.59,IF(C190="D-",1,""))))))</f>
        <v>2.5099999999999998</v>
      </c>
      <c r="K190" s="12">
        <f>IF(E190="A+",10,IF(E190="A",6.31,IF(E190="B",3.98,IF(E190="C",2.51,IF(E190="D",1.59,IF(E190="D-",1,""))))))</f>
        <v>3.98</v>
      </c>
      <c r="L190" s="12">
        <f>IF(G190="A+",10,IF(G190="A",6.31,IF(G190="B",3.98,IF(G190="C",2.51,IF(G190="D",1.59,IF(G190="D-",1,""))))))</f>
        <v>1.59</v>
      </c>
      <c r="M190" s="13">
        <f>IF(ISNUMBER(J190),J190/(J190+K190+L190),"")</f>
        <v>0.31064356435643564</v>
      </c>
      <c r="N190" s="14">
        <f>IF(ISNUMBER(M190),I190*(1+(1-M190)*0.475),"")</f>
        <v>102.21321163366338</v>
      </c>
    </row>
    <row r="191" spans="1:14" x14ac:dyDescent="0.25">
      <c r="A191" s="11"/>
      <c r="B191" s="10">
        <v>1705</v>
      </c>
      <c r="C191" s="10" t="s">
        <v>137</v>
      </c>
      <c r="D191" s="11" t="s">
        <v>85</v>
      </c>
      <c r="E191" s="10" t="s">
        <v>135</v>
      </c>
      <c r="F191" s="11" t="s">
        <v>84</v>
      </c>
      <c r="G191" s="10" t="s">
        <v>138</v>
      </c>
      <c r="H191" s="11" t="s">
        <v>86</v>
      </c>
      <c r="I191" s="11">
        <v>70</v>
      </c>
      <c r="J191" s="12">
        <f>IF(C191="A+",10,IF(C191="A",6.31,IF(C191="B",3.98,IF(C191="C",2.51,IF(C191="D",1.59,IF(C191="D-",1,""))))))</f>
        <v>2.5099999999999998</v>
      </c>
      <c r="K191" s="12">
        <f>IF(E191="A+",10,IF(E191="A",6.31,IF(E191="B",3.98,IF(E191="C",2.51,IF(E191="D",1.59,IF(E191="D-",1,""))))))</f>
        <v>3.98</v>
      </c>
      <c r="L191" s="12">
        <f>IF(G191="A+",10,IF(G191="A",6.31,IF(G191="B",3.98,IF(G191="C",2.51,IF(G191="D",1.59,IF(G191="D-",1,""))))))</f>
        <v>1.59</v>
      </c>
      <c r="M191" s="13">
        <f>IF(ISNUMBER(J191),J191/(J191+K191+L191),"")</f>
        <v>0.31064356435643564</v>
      </c>
      <c r="N191" s="14">
        <f>IF(ISNUMBER(M191),I191*(1+(1-M191)*0.475),"")</f>
        <v>92.921101485148526</v>
      </c>
    </row>
    <row r="192" spans="1:14" x14ac:dyDescent="0.25">
      <c r="A192" s="11"/>
      <c r="B192" s="10">
        <v>1808</v>
      </c>
      <c r="C192" s="10" t="s">
        <v>137</v>
      </c>
      <c r="D192" s="11" t="s">
        <v>85</v>
      </c>
      <c r="E192" s="10" t="s">
        <v>135</v>
      </c>
      <c r="F192" s="11" t="s">
        <v>84</v>
      </c>
      <c r="G192" s="10" t="s">
        <v>138</v>
      </c>
      <c r="H192" s="11" t="s">
        <v>86</v>
      </c>
      <c r="I192" s="11">
        <v>68</v>
      </c>
      <c r="J192" s="12">
        <f>IF(C192="A+",10,IF(C192="A",6.31,IF(C192="B",3.98,IF(C192="C",2.51,IF(C192="D",1.59,IF(C192="D-",1,""))))))</f>
        <v>2.5099999999999998</v>
      </c>
      <c r="K192" s="12">
        <f>IF(E192="A+",10,IF(E192="A",6.31,IF(E192="B",3.98,IF(E192="C",2.51,IF(E192="D",1.59,IF(E192="D-",1,""))))))</f>
        <v>3.98</v>
      </c>
      <c r="L192" s="12">
        <f>IF(G192="A+",10,IF(G192="A",6.31,IF(G192="B",3.98,IF(G192="C",2.51,IF(G192="D",1.59,IF(G192="D-",1,""))))))</f>
        <v>1.59</v>
      </c>
      <c r="M192" s="13">
        <f>IF(ISNUMBER(J192),J192/(J192+K192+L192),"")</f>
        <v>0.31064356435643564</v>
      </c>
      <c r="N192" s="14">
        <f>IF(ISNUMBER(M192),I192*(1+(1-M192)*0.475),"")</f>
        <v>90.266212871287138</v>
      </c>
    </row>
    <row r="193" spans="1:14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9" t="s">
        <v>17</v>
      </c>
      <c r="N193" s="15">
        <f>IF(ISNUMBER(M192),AVERAGE(N188:N192),"")</f>
        <v>97.965389851485156</v>
      </c>
    </row>
    <row r="194" spans="1:14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9" t="s">
        <v>18</v>
      </c>
      <c r="N194" s="15">
        <f>IF(ISNUMBER(N193),(N193-69.8)*(113/118),"")</f>
        <v>26.971941128964602</v>
      </c>
    </row>
    <row r="196" spans="1:14" x14ac:dyDescent="0.25">
      <c r="A196" s="11" t="s">
        <v>86</v>
      </c>
      <c r="B196" s="10">
        <v>1505</v>
      </c>
      <c r="C196" s="10" t="s">
        <v>138</v>
      </c>
      <c r="D196" s="11" t="s">
        <v>86</v>
      </c>
      <c r="E196" s="10" t="s">
        <v>135</v>
      </c>
      <c r="F196" s="11" t="s">
        <v>84</v>
      </c>
      <c r="G196" s="10" t="s">
        <v>137</v>
      </c>
      <c r="H196" s="11" t="s">
        <v>85</v>
      </c>
      <c r="I196" s="11">
        <v>79</v>
      </c>
      <c r="J196" s="12">
        <f t="shared" ref="J196:J202" si="19">IF(C196="A+",10,IF(C196="A",6.31,IF(C196="B",3.98,IF(C196="C",2.51,IF(C196="D",1.59,IF(C196="D-",1,""))))))</f>
        <v>1.59</v>
      </c>
      <c r="K196" s="12">
        <f t="shared" ref="K196:K202" si="20">IF(E196="A+",10,IF(E196="A",6.31,IF(E196="B",3.98,IF(E196="C",2.51,IF(E196="D",1.59,IF(E196="D-",1,""))))))</f>
        <v>3.98</v>
      </c>
      <c r="L196" s="12">
        <f t="shared" ref="L196:L202" si="21">IF(G196="A+",10,IF(G196="A",6.31,IF(G196="B",3.98,IF(G196="C",2.51,IF(G196="D",1.59,IF(G196="D-",1,""))))))</f>
        <v>2.5099999999999998</v>
      </c>
      <c r="M196" s="13">
        <f t="shared" ref="M196:M202" si="22">IF(ISNUMBER(J196),J196/(J196+K196+L196),"")</f>
        <v>0.19678217821782179</v>
      </c>
      <c r="N196" s="14">
        <f t="shared" ref="N196:N202" si="23">IF(ISNUMBER(M196),I196*(1+(1-M196)*0.475),"")</f>
        <v>109.14074876237622</v>
      </c>
    </row>
    <row r="197" spans="1:14" x14ac:dyDescent="0.25">
      <c r="A197" s="11"/>
      <c r="B197" s="10">
        <v>1508</v>
      </c>
      <c r="C197" s="10" t="s">
        <v>138</v>
      </c>
      <c r="D197" s="11" t="s">
        <v>86</v>
      </c>
      <c r="E197" s="10" t="s">
        <v>135</v>
      </c>
      <c r="F197" s="11" t="s">
        <v>84</v>
      </c>
      <c r="G197" s="10" t="s">
        <v>137</v>
      </c>
      <c r="H197" s="11" t="s">
        <v>85</v>
      </c>
      <c r="I197" s="11">
        <v>75</v>
      </c>
      <c r="J197" s="12">
        <f t="shared" si="19"/>
        <v>1.59</v>
      </c>
      <c r="K197" s="12">
        <f t="shared" si="20"/>
        <v>3.98</v>
      </c>
      <c r="L197" s="12">
        <f t="shared" si="21"/>
        <v>2.5099999999999998</v>
      </c>
      <c r="M197" s="13">
        <f t="shared" si="22"/>
        <v>0.19678217821782179</v>
      </c>
      <c r="N197" s="14">
        <f t="shared" si="23"/>
        <v>103.61463490099008</v>
      </c>
    </row>
    <row r="198" spans="1:14" x14ac:dyDescent="0.25">
      <c r="A198" s="11"/>
      <c r="B198" s="10">
        <v>1608</v>
      </c>
      <c r="C198" s="10" t="s">
        <v>138</v>
      </c>
      <c r="D198" s="11" t="s">
        <v>86</v>
      </c>
      <c r="E198" s="10" t="s">
        <v>135</v>
      </c>
      <c r="F198" s="11" t="s">
        <v>84</v>
      </c>
      <c r="G198" s="10" t="s">
        <v>137</v>
      </c>
      <c r="H198" s="11" t="s">
        <v>85</v>
      </c>
      <c r="I198" s="11">
        <v>77</v>
      </c>
      <c r="J198" s="12">
        <f t="shared" si="19"/>
        <v>1.59</v>
      </c>
      <c r="K198" s="12">
        <f t="shared" si="20"/>
        <v>3.98</v>
      </c>
      <c r="L198" s="12">
        <f t="shared" si="21"/>
        <v>2.5099999999999998</v>
      </c>
      <c r="M198" s="13">
        <f t="shared" si="22"/>
        <v>0.19678217821782179</v>
      </c>
      <c r="N198" s="14">
        <f t="shared" si="23"/>
        <v>106.37769183168315</v>
      </c>
    </row>
    <row r="199" spans="1:14" x14ac:dyDescent="0.25">
      <c r="A199" s="11"/>
      <c r="B199" s="10">
        <v>1705</v>
      </c>
      <c r="C199" s="10" t="s">
        <v>138</v>
      </c>
      <c r="D199" s="11" t="s">
        <v>86</v>
      </c>
      <c r="E199" s="10" t="s">
        <v>135</v>
      </c>
      <c r="F199" s="11" t="s">
        <v>84</v>
      </c>
      <c r="G199" s="10" t="s">
        <v>137</v>
      </c>
      <c r="H199" s="11" t="s">
        <v>85</v>
      </c>
      <c r="I199" s="11">
        <v>70</v>
      </c>
      <c r="J199" s="12">
        <f t="shared" si="19"/>
        <v>1.59</v>
      </c>
      <c r="K199" s="12">
        <f t="shared" si="20"/>
        <v>3.98</v>
      </c>
      <c r="L199" s="12">
        <f t="shared" si="21"/>
        <v>2.5099999999999998</v>
      </c>
      <c r="M199" s="13">
        <f t="shared" si="22"/>
        <v>0.19678217821782179</v>
      </c>
      <c r="N199" s="14">
        <f t="shared" si="23"/>
        <v>96.706992574257413</v>
      </c>
    </row>
    <row r="200" spans="1:14" x14ac:dyDescent="0.25">
      <c r="A200" s="11"/>
      <c r="B200" s="10">
        <v>1805</v>
      </c>
      <c r="C200" s="10" t="s">
        <v>138</v>
      </c>
      <c r="D200" s="11" t="s">
        <v>86</v>
      </c>
      <c r="E200" s="10" t="s">
        <v>135</v>
      </c>
      <c r="F200" s="11" t="s">
        <v>84</v>
      </c>
      <c r="G200" s="10" t="s">
        <v>135</v>
      </c>
      <c r="H200" s="11" t="s">
        <v>87</v>
      </c>
      <c r="I200" s="11">
        <v>70</v>
      </c>
      <c r="J200" s="12">
        <f t="shared" si="19"/>
        <v>1.59</v>
      </c>
      <c r="K200" s="12">
        <f t="shared" si="20"/>
        <v>3.98</v>
      </c>
      <c r="L200" s="12">
        <f t="shared" si="21"/>
        <v>3.98</v>
      </c>
      <c r="M200" s="13">
        <f t="shared" si="22"/>
        <v>0.16649214659685863</v>
      </c>
      <c r="N200" s="14">
        <f t="shared" si="23"/>
        <v>97.714136125654463</v>
      </c>
    </row>
    <row r="201" spans="1:14" x14ac:dyDescent="0.25">
      <c r="A201" s="11"/>
      <c r="B201" s="10">
        <v>1808</v>
      </c>
      <c r="C201" s="10" t="s">
        <v>138</v>
      </c>
      <c r="D201" s="11" t="s">
        <v>86</v>
      </c>
      <c r="E201" s="10" t="s">
        <v>135</v>
      </c>
      <c r="F201" s="11" t="s">
        <v>84</v>
      </c>
      <c r="G201" s="10" t="s">
        <v>137</v>
      </c>
      <c r="H201" s="11" t="s">
        <v>85</v>
      </c>
      <c r="I201" s="11">
        <v>68</v>
      </c>
      <c r="J201" s="12">
        <f t="shared" si="19"/>
        <v>1.59</v>
      </c>
      <c r="K201" s="12">
        <f t="shared" si="20"/>
        <v>3.98</v>
      </c>
      <c r="L201" s="12">
        <f t="shared" si="21"/>
        <v>2.5099999999999998</v>
      </c>
      <c r="M201" s="13">
        <f t="shared" si="22"/>
        <v>0.19678217821782179</v>
      </c>
      <c r="N201" s="14">
        <f t="shared" si="23"/>
        <v>93.943935643564345</v>
      </c>
    </row>
    <row r="202" spans="1:14" x14ac:dyDescent="0.25">
      <c r="A202" s="11"/>
      <c r="B202" s="10">
        <v>1906</v>
      </c>
      <c r="C202" s="10" t="s">
        <v>138</v>
      </c>
      <c r="D202" s="11" t="s">
        <v>86</v>
      </c>
      <c r="E202" s="10" t="s">
        <v>135</v>
      </c>
      <c r="F202" s="11" t="s">
        <v>93</v>
      </c>
      <c r="G202" s="10" t="s">
        <v>135</v>
      </c>
      <c r="H202" s="11" t="s">
        <v>94</v>
      </c>
      <c r="I202" s="11">
        <v>73</v>
      </c>
      <c r="J202" s="12">
        <f t="shared" si="19"/>
        <v>1.59</v>
      </c>
      <c r="K202" s="12">
        <f t="shared" si="20"/>
        <v>3.98</v>
      </c>
      <c r="L202" s="12">
        <f t="shared" si="21"/>
        <v>3.98</v>
      </c>
      <c r="M202" s="13">
        <f t="shared" si="22"/>
        <v>0.16649214659685863</v>
      </c>
      <c r="N202" s="14">
        <f t="shared" si="23"/>
        <v>101.90188481675393</v>
      </c>
    </row>
    <row r="203" spans="1:14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9" t="s">
        <v>17</v>
      </c>
      <c r="N203" s="15">
        <f>IF(ISNUMBER(M202),AVERAGE(N196:N202),"")</f>
        <v>101.34286066503996</v>
      </c>
    </row>
    <row r="204" spans="1:14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9" t="s">
        <v>18</v>
      </c>
      <c r="N204" s="15">
        <f>IF(ISNUMBER(N203),(N203-69.8)*(113/118),"")</f>
        <v>30.206298772453529</v>
      </c>
    </row>
    <row r="206" spans="1:14" x14ac:dyDescent="0.25">
      <c r="A206" s="11" t="s">
        <v>24</v>
      </c>
      <c r="B206" s="10">
        <v>1505</v>
      </c>
      <c r="C206" s="10" t="s">
        <v>136</v>
      </c>
      <c r="D206" s="11" t="s">
        <v>24</v>
      </c>
      <c r="E206" s="10" t="s">
        <v>139</v>
      </c>
      <c r="F206" s="11" t="s">
        <v>23</v>
      </c>
      <c r="G206" s="10" t="s">
        <v>135</v>
      </c>
      <c r="H206" s="11" t="s">
        <v>25</v>
      </c>
      <c r="I206" s="11">
        <v>69</v>
      </c>
      <c r="J206" s="12">
        <f>IF(C206="A+",10,IF(C206="A",6.31,IF(C206="B",3.98,IF(C206="C",2.51,IF(C206="D",1.59,IF(C206="D-",1,""))))))</f>
        <v>6.31</v>
      </c>
      <c r="K206" s="12">
        <f>IF(E206="A+",10,IF(E206="A",6.31,IF(E206="B",3.98,IF(E206="C",2.51,IF(E206="D",1.59,IF(E206="D-",1,""))))))</f>
        <v>1</v>
      </c>
      <c r="L206" s="12">
        <f>IF(G206="A+",10,IF(G206="A",6.31,IF(G206="B",3.98,IF(G206="C",2.51,IF(G206="D",1.59,IF(G206="D-",1,""))))))</f>
        <v>3.98</v>
      </c>
      <c r="M206" s="13">
        <f>IF(ISNUMBER(J206),J206/(J206+K206+L206),"")</f>
        <v>0.5589016829052259</v>
      </c>
      <c r="N206" s="14">
        <f>IF(ISNUMBER(M206),I206*(1+(1-M206)*0.475),"")</f>
        <v>83.456997342781222</v>
      </c>
    </row>
    <row r="207" spans="1:14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9" t="s">
        <v>17</v>
      </c>
      <c r="N207" s="15">
        <f>IF(ISNUMBER(M206),AVERAGE(N206:N206),"")</f>
        <v>83.456997342781222</v>
      </c>
    </row>
    <row r="208" spans="1:14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9" t="s">
        <v>18</v>
      </c>
      <c r="N208" s="15">
        <f>IF(ISNUMBER(N207),(N207-69.8)*(113/118),"")</f>
        <v>13.078311014697274</v>
      </c>
    </row>
    <row r="210" spans="1:14" x14ac:dyDescent="0.25">
      <c r="A210" s="79" t="s">
        <v>27</v>
      </c>
      <c r="B210" s="80">
        <v>1505</v>
      </c>
      <c r="C210" s="80" t="s">
        <v>135</v>
      </c>
      <c r="D210" s="79" t="s">
        <v>27</v>
      </c>
      <c r="E210" s="80" t="s">
        <v>138</v>
      </c>
      <c r="F210" s="79" t="s">
        <v>26</v>
      </c>
      <c r="G210" s="80" t="s">
        <v>137</v>
      </c>
      <c r="H210" s="79" t="s">
        <v>28</v>
      </c>
      <c r="I210" s="79">
        <v>79</v>
      </c>
      <c r="J210" s="81">
        <f>IF(C210="A+",10,IF(C210="A",6.31,IF(C210="B",3.98,IF(C210="C",2.51,IF(C210="D",1.59,IF(C210="D-",1,""))))))</f>
        <v>3.98</v>
      </c>
      <c r="K210" s="81">
        <f>IF(E210="A+",10,IF(E210="A",6.31,IF(E210="B",3.98,IF(E210="C",2.51,IF(E210="D",1.59,IF(E210="D-",1,""))))))</f>
        <v>1.59</v>
      </c>
      <c r="L210" s="81">
        <f>IF(G210="A+",10,IF(G210="A",6.31,IF(G210="B",3.98,IF(G210="C",2.51,IF(G210="D",1.59,IF(G210="D-",1,""))))))</f>
        <v>2.5099999999999998</v>
      </c>
      <c r="M210" s="82">
        <f>IF(ISNUMBER(J210),J210/(J210+K210+L210),"")</f>
        <v>0.49257425742574257</v>
      </c>
      <c r="N210" s="83">
        <f>IF(ISNUMBER(M210),I210*(1+(1-M210)*0.475),"")</f>
        <v>98.041150990099013</v>
      </c>
    </row>
    <row r="211" spans="1:14" x14ac:dyDescent="0.25">
      <c r="A211" s="79"/>
      <c r="B211" s="80">
        <v>1608</v>
      </c>
      <c r="C211" s="80" t="s">
        <v>135</v>
      </c>
      <c r="D211" s="79" t="s">
        <v>27</v>
      </c>
      <c r="E211" s="80" t="s">
        <v>136</v>
      </c>
      <c r="F211" s="79" t="s">
        <v>82</v>
      </c>
      <c r="G211" s="80" t="s">
        <v>138</v>
      </c>
      <c r="H211" s="79" t="s">
        <v>83</v>
      </c>
      <c r="I211" s="79">
        <v>73</v>
      </c>
      <c r="J211" s="81">
        <f>IF(C211="A+",10,IF(C211="A",6.31,IF(C211="B",3.98,IF(C211="C",2.51,IF(C211="D",1.59,IF(C211="D-",1,""))))))</f>
        <v>3.98</v>
      </c>
      <c r="K211" s="81">
        <f>IF(E211="A+",10,IF(E211="A",6.31,IF(E211="B",3.98,IF(E211="C",2.51,IF(E211="D",1.59,IF(E211="D-",1,""))))))</f>
        <v>6.31</v>
      </c>
      <c r="L211" s="81">
        <f>IF(G211="A+",10,IF(G211="A",6.31,IF(G211="B",3.98,IF(G211="C",2.51,IF(G211="D",1.59,IF(G211="D-",1,""))))))</f>
        <v>1.59</v>
      </c>
      <c r="M211" s="82">
        <f>IF(ISNUMBER(J211),J211/(J211+K211+L211),"")</f>
        <v>0.33501683501683505</v>
      </c>
      <c r="N211" s="83">
        <f>IF(ISNUMBER(M211),I211*(1+(1-M211)*0.475),"")</f>
        <v>96.058291245791253</v>
      </c>
    </row>
    <row r="212" spans="1:14" x14ac:dyDescent="0.25">
      <c r="A212" s="79"/>
      <c r="B212" s="80">
        <v>1705</v>
      </c>
      <c r="C212" s="80" t="s">
        <v>135</v>
      </c>
      <c r="D212" s="79" t="s">
        <v>27</v>
      </c>
      <c r="E212" s="80" t="s">
        <v>136</v>
      </c>
      <c r="F212" s="79" t="s">
        <v>82</v>
      </c>
      <c r="G212" s="80" t="s">
        <v>138</v>
      </c>
      <c r="H212" s="79" t="s">
        <v>83</v>
      </c>
      <c r="I212" s="79">
        <v>75</v>
      </c>
      <c r="J212" s="81">
        <f>IF(C212="A+",10,IF(C212="A",6.31,IF(C212="B",3.98,IF(C212="C",2.51,IF(C212="D",1.59,IF(C212="D-",1,""))))))</f>
        <v>3.98</v>
      </c>
      <c r="K212" s="81">
        <f>IF(E212="A+",10,IF(E212="A",6.31,IF(E212="B",3.98,IF(E212="C",2.51,IF(E212="D",1.59,IF(E212="D-",1,""))))))</f>
        <v>6.31</v>
      </c>
      <c r="L212" s="81">
        <f>IF(G212="A+",10,IF(G212="A",6.31,IF(G212="B",3.98,IF(G212="C",2.51,IF(G212="D",1.59,IF(G212="D-",1,""))))))</f>
        <v>1.59</v>
      </c>
      <c r="M212" s="82">
        <f>IF(ISNUMBER(J212),J212/(J212+K212+L212),"")</f>
        <v>0.33501683501683505</v>
      </c>
      <c r="N212" s="83">
        <f>IF(ISNUMBER(M212),I212*(1+(1-M212)*0.475),"")</f>
        <v>98.69002525252526</v>
      </c>
    </row>
    <row r="213" spans="1:14" x14ac:dyDescent="0.25">
      <c r="A213" s="79"/>
      <c r="B213" s="80">
        <v>1805</v>
      </c>
      <c r="C213" s="80" t="s">
        <v>135</v>
      </c>
      <c r="D213" s="79" t="s">
        <v>27</v>
      </c>
      <c r="E213" s="80" t="s">
        <v>135</v>
      </c>
      <c r="F213" s="79" t="s">
        <v>77</v>
      </c>
      <c r="G213" s="80" t="s">
        <v>138</v>
      </c>
      <c r="H213" s="79" t="s">
        <v>95</v>
      </c>
      <c r="I213" s="79">
        <v>74</v>
      </c>
      <c r="J213" s="81">
        <f>IF(C213="A+",10,IF(C213="A",6.31,IF(C213="B",3.98,IF(C213="C",2.51,IF(C213="D",1.59,IF(C213="D-",1,""))))))</f>
        <v>3.98</v>
      </c>
      <c r="K213" s="81">
        <f>IF(E213="A+",10,IF(E213="A",6.31,IF(E213="B",3.98,IF(E213="C",2.51,IF(E213="D",1.59,IF(E213="D-",1,""))))))</f>
        <v>3.98</v>
      </c>
      <c r="L213" s="81">
        <f>IF(G213="A+",10,IF(G213="A",6.31,IF(G213="B",3.98,IF(G213="C",2.51,IF(G213="D",1.59,IF(G213="D-",1,""))))))</f>
        <v>1.59</v>
      </c>
      <c r="M213" s="82">
        <f>IF(ISNUMBER(J213),J213/(J213+K213+L213),"")</f>
        <v>0.41675392670157063</v>
      </c>
      <c r="N213" s="83">
        <f>IF(ISNUMBER(M213),I213*(1+(1-M213)*0.475),"")</f>
        <v>94.501099476439791</v>
      </c>
    </row>
    <row r="214" spans="1:14" x14ac:dyDescent="0.25">
      <c r="A214" s="79"/>
      <c r="B214" s="80">
        <v>1906</v>
      </c>
      <c r="C214" s="80" t="s">
        <v>135</v>
      </c>
      <c r="D214" s="79" t="s">
        <v>27</v>
      </c>
      <c r="E214" s="80" t="s">
        <v>136</v>
      </c>
      <c r="F214" s="79" t="s">
        <v>82</v>
      </c>
      <c r="G214" s="80" t="s">
        <v>135</v>
      </c>
      <c r="H214" s="79" t="s">
        <v>77</v>
      </c>
      <c r="I214" s="79">
        <v>77</v>
      </c>
      <c r="J214" s="81">
        <f>IF(C214="A+",10,IF(C214="A",6.31,IF(C214="B",3.98,IF(C214="C",2.51,IF(C214="D",1.59,IF(C214="D-",1,""))))))</f>
        <v>3.98</v>
      </c>
      <c r="K214" s="81">
        <f>IF(E214="A+",10,IF(E214="A",6.31,IF(E214="B",3.98,IF(E214="C",2.51,IF(E214="D",1.59,IF(E214="D-",1,""))))))</f>
        <v>6.31</v>
      </c>
      <c r="L214" s="81">
        <f>IF(G214="A+",10,IF(G214="A",6.31,IF(G214="B",3.98,IF(G214="C",2.51,IF(G214="D",1.59,IF(G214="D-",1,""))))))</f>
        <v>3.98</v>
      </c>
      <c r="M214" s="82">
        <f>IF(ISNUMBER(J214),J214/(J214+K214+L214),"")</f>
        <v>0.27890679747722497</v>
      </c>
      <c r="N214" s="83">
        <f>IF(ISNUMBER(M214),I214*(1+(1-M214)*0.475),"")</f>
        <v>103.37398388227049</v>
      </c>
    </row>
    <row r="215" spans="1:14" x14ac:dyDescent="0.25">
      <c r="A215" s="79"/>
      <c r="B215" s="79"/>
      <c r="C215" s="79"/>
      <c r="D215" s="79"/>
      <c r="E215" s="79"/>
      <c r="F215" s="79"/>
      <c r="G215" s="79"/>
      <c r="H215" s="79"/>
      <c r="I215" s="79"/>
      <c r="J215" s="79"/>
      <c r="K215" s="79"/>
      <c r="L215" s="79"/>
      <c r="M215" s="84" t="s">
        <v>17</v>
      </c>
      <c r="N215" s="85">
        <f>IF(ISNUMBER(M214),AVERAGE(N210:N214),"")</f>
        <v>98.132910169425173</v>
      </c>
    </row>
    <row r="216" spans="1:14" x14ac:dyDescent="0.25">
      <c r="A216" s="79"/>
      <c r="B216" s="79"/>
      <c r="C216" s="79"/>
      <c r="D216" s="79"/>
      <c r="E216" s="79"/>
      <c r="F216" s="79"/>
      <c r="G216" s="79"/>
      <c r="H216" s="79"/>
      <c r="I216" s="79"/>
      <c r="J216" s="79"/>
      <c r="K216" s="79"/>
      <c r="L216" s="79"/>
      <c r="M216" s="84" t="s">
        <v>18</v>
      </c>
      <c r="N216" s="85">
        <f>IF(ISNUMBER(N215),(N215-69.8)*(113/118),"")</f>
        <v>27.132363128347837</v>
      </c>
    </row>
    <row r="218" spans="1:14" x14ac:dyDescent="0.25">
      <c r="A218" s="11" t="s">
        <v>91</v>
      </c>
      <c r="B218" s="10">
        <v>1505</v>
      </c>
      <c r="C218" s="10" t="s">
        <v>136</v>
      </c>
      <c r="D218" s="11" t="s">
        <v>91</v>
      </c>
      <c r="E218" s="10" t="s">
        <v>135</v>
      </c>
      <c r="F218" s="11" t="s">
        <v>96</v>
      </c>
      <c r="G218" s="10" t="s">
        <v>137</v>
      </c>
      <c r="H218" s="11" t="s">
        <v>92</v>
      </c>
      <c r="I218" s="11">
        <v>71</v>
      </c>
      <c r="J218" s="12">
        <f>IF(C218="A+",10,IF(C218="A",6.31,IF(C218="B",3.98,IF(C218="C",2.51,IF(C218="D",1.59,IF(C218="D-",1,""))))))</f>
        <v>6.31</v>
      </c>
      <c r="K218" s="12">
        <f>IF(E218="A+",10,IF(E218="A",6.31,IF(E218="B",3.98,IF(E218="C",2.51,IF(E218="D",1.59,IF(E218="D-",1,""))))))</f>
        <v>3.98</v>
      </c>
      <c r="L218" s="12">
        <f>IF(G218="A+",10,IF(G218="A",6.31,IF(G218="B",3.98,IF(G218="C",2.51,IF(G218="D",1.59,IF(G218="D-",1,""))))))</f>
        <v>2.5099999999999998</v>
      </c>
      <c r="M218" s="13">
        <f>IF(ISNUMBER(J218),J218/(J218+K218+L218),"")</f>
        <v>0.49296875000000001</v>
      </c>
      <c r="N218" s="14">
        <f>IF(ISNUMBER(M218),I218*(1+(1-M218)*0.475),"")</f>
        <v>88.09962890624999</v>
      </c>
    </row>
    <row r="219" spans="1:14" x14ac:dyDescent="0.25">
      <c r="A219" s="11"/>
      <c r="B219" s="10">
        <v>1608</v>
      </c>
      <c r="C219" s="10" t="s">
        <v>136</v>
      </c>
      <c r="D219" s="11" t="s">
        <v>91</v>
      </c>
      <c r="E219" s="10" t="s">
        <v>135</v>
      </c>
      <c r="F219" s="11" t="s">
        <v>73</v>
      </c>
      <c r="G219" s="10" t="s">
        <v>137</v>
      </c>
      <c r="H219" s="11" t="s">
        <v>92</v>
      </c>
      <c r="I219" s="11">
        <v>65</v>
      </c>
      <c r="J219" s="12">
        <f>IF(C219="A+",10,IF(C219="A",6.31,IF(C219="B",3.98,IF(C219="C",2.51,IF(C219="D",1.59,IF(C219="D-",1,""))))))</f>
        <v>6.31</v>
      </c>
      <c r="K219" s="12">
        <f>IF(E219="A+",10,IF(E219="A",6.31,IF(E219="B",3.98,IF(E219="C",2.51,IF(E219="D",1.59,IF(E219="D-",1,""))))))</f>
        <v>3.98</v>
      </c>
      <c r="L219" s="12">
        <f>IF(G219="A+",10,IF(G219="A",6.31,IF(G219="B",3.98,IF(G219="C",2.51,IF(G219="D",1.59,IF(G219="D-",1,""))))))</f>
        <v>2.5099999999999998</v>
      </c>
      <c r="M219" s="13">
        <f>IF(ISNUMBER(J219),J219/(J219+K219+L219),"")</f>
        <v>0.49296875000000001</v>
      </c>
      <c r="N219" s="14">
        <f>IF(ISNUMBER(M219),I219*(1+(1-M219)*0.475),"")</f>
        <v>80.654589843749989</v>
      </c>
    </row>
    <row r="220" spans="1:14" x14ac:dyDescent="0.25">
      <c r="A220" s="11"/>
      <c r="B220" s="10">
        <v>1705</v>
      </c>
      <c r="C220" s="10" t="s">
        <v>136</v>
      </c>
      <c r="D220" s="11" t="s">
        <v>91</v>
      </c>
      <c r="E220" s="10" t="s">
        <v>135</v>
      </c>
      <c r="F220" s="11" t="s">
        <v>96</v>
      </c>
      <c r="G220" s="10" t="s">
        <v>139</v>
      </c>
      <c r="H220" s="11" t="s">
        <v>97</v>
      </c>
      <c r="I220" s="11">
        <v>71</v>
      </c>
      <c r="J220" s="12">
        <f>IF(C220="A+",10,IF(C220="A",6.31,IF(C220="B",3.98,IF(C220="C",2.51,IF(C220="D",1.59,IF(C220="D-",1,""))))))</f>
        <v>6.31</v>
      </c>
      <c r="K220" s="12">
        <f>IF(E220="A+",10,IF(E220="A",6.31,IF(E220="B",3.98,IF(E220="C",2.51,IF(E220="D",1.59,IF(E220="D-",1,""))))))</f>
        <v>3.98</v>
      </c>
      <c r="L220" s="12">
        <f>IF(G220="A+",10,IF(G220="A",6.31,IF(G220="B",3.98,IF(G220="C",2.51,IF(G220="D",1.59,IF(G220="D-",1,""))))))</f>
        <v>1</v>
      </c>
      <c r="M220" s="13">
        <f>IF(ISNUMBER(J220),J220/(J220+K220+L220),"")</f>
        <v>0.5589016829052259</v>
      </c>
      <c r="N220" s="14">
        <f>IF(ISNUMBER(M220),I220*(1+(1-M220)*0.475),"")</f>
        <v>85.876040744021253</v>
      </c>
    </row>
    <row r="221" spans="1:14" x14ac:dyDescent="0.25">
      <c r="A221" s="11"/>
      <c r="B221" s="10">
        <v>1805</v>
      </c>
      <c r="C221" s="10" t="s">
        <v>136</v>
      </c>
      <c r="D221" s="11" t="s">
        <v>91</v>
      </c>
      <c r="E221" s="10" t="s">
        <v>135</v>
      </c>
      <c r="F221" s="11" t="s">
        <v>96</v>
      </c>
      <c r="G221" s="10" t="s">
        <v>137</v>
      </c>
      <c r="H221" s="11" t="s">
        <v>92</v>
      </c>
      <c r="I221" s="11">
        <v>72</v>
      </c>
      <c r="J221" s="12">
        <f>IF(C221="A+",10,IF(C221="A",6.31,IF(C221="B",3.98,IF(C221="C",2.51,IF(C221="D",1.59,IF(C221="D-",1,""))))))</f>
        <v>6.31</v>
      </c>
      <c r="K221" s="12">
        <f>IF(E221="A+",10,IF(E221="A",6.31,IF(E221="B",3.98,IF(E221="C",2.51,IF(E221="D",1.59,IF(E221="D-",1,""))))))</f>
        <v>3.98</v>
      </c>
      <c r="L221" s="12">
        <f>IF(G221="A+",10,IF(G221="A",6.31,IF(G221="B",3.98,IF(G221="C",2.51,IF(G221="D",1.59,IF(G221="D-",1,""))))))</f>
        <v>2.5099999999999998</v>
      </c>
      <c r="M221" s="13">
        <f>IF(ISNUMBER(J221),J221/(J221+K221+L221),"")</f>
        <v>0.49296875000000001</v>
      </c>
      <c r="N221" s="14">
        <f>IF(ISNUMBER(M221),I221*(1+(1-M221)*0.475),"")</f>
        <v>89.340468749999985</v>
      </c>
    </row>
    <row r="222" spans="1:14" x14ac:dyDescent="0.25">
      <c r="A222" s="11"/>
      <c r="B222" s="10">
        <v>1906</v>
      </c>
      <c r="C222" s="10" t="s">
        <v>136</v>
      </c>
      <c r="D222" s="11" t="s">
        <v>91</v>
      </c>
      <c r="E222" s="10" t="s">
        <v>135</v>
      </c>
      <c r="F222" s="11" t="s">
        <v>96</v>
      </c>
      <c r="G222" s="10" t="s">
        <v>137</v>
      </c>
      <c r="H222" s="11" t="s">
        <v>92</v>
      </c>
      <c r="I222" s="11">
        <v>76</v>
      </c>
      <c r="J222" s="12">
        <f>IF(C222="A+",10,IF(C222="A",6.31,IF(C222="B",3.98,IF(C222="C",2.51,IF(C222="D",1.59,IF(C222="D-",1,""))))))</f>
        <v>6.31</v>
      </c>
      <c r="K222" s="12">
        <f>IF(E222="A+",10,IF(E222="A",6.31,IF(E222="B",3.98,IF(E222="C",2.51,IF(E222="D",1.59,IF(E222="D-",1,""))))))</f>
        <v>3.98</v>
      </c>
      <c r="L222" s="12">
        <f>IF(G222="A+",10,IF(G222="A",6.31,IF(G222="B",3.98,IF(G222="C",2.51,IF(G222="D",1.59,IF(G222="D-",1,""))))))</f>
        <v>2.5099999999999998</v>
      </c>
      <c r="M222" s="13">
        <f>IF(ISNUMBER(J222),J222/(J222+K222+L222),"")</f>
        <v>0.49296875000000001</v>
      </c>
      <c r="N222" s="14">
        <f>IF(ISNUMBER(M222),I222*(1+(1-M222)*0.475),"")</f>
        <v>94.303828124999995</v>
      </c>
    </row>
    <row r="223" spans="1:14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9" t="s">
        <v>17</v>
      </c>
      <c r="N223" s="15">
        <f>IF(ISNUMBER(M222),AVERAGE(N218:N222),"")</f>
        <v>87.654911273804231</v>
      </c>
    </row>
    <row r="224" spans="1:14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9" t="s">
        <v>18</v>
      </c>
      <c r="N224" s="15">
        <f>IF(ISNUMBER(N223),(N223-69.8)*(113/118),"")</f>
        <v>17.098347236778629</v>
      </c>
    </row>
    <row r="226" spans="1:14" x14ac:dyDescent="0.25">
      <c r="A226" s="2" t="s">
        <v>77</v>
      </c>
      <c r="B226" s="4">
        <v>1608</v>
      </c>
      <c r="C226" s="4" t="s">
        <v>137</v>
      </c>
      <c r="D226" s="2" t="s">
        <v>77</v>
      </c>
      <c r="E226" s="4" t="s">
        <v>138</v>
      </c>
      <c r="F226" s="2" t="s">
        <v>75</v>
      </c>
      <c r="G226" s="4" t="s">
        <v>138</v>
      </c>
      <c r="H226" s="2" t="s">
        <v>76</v>
      </c>
      <c r="I226" s="2">
        <v>84</v>
      </c>
      <c r="J226" s="5">
        <f>IF(C226="A+",10,IF(C226="A",6.31,IF(C226="B",3.98,IF(C226="C",2.51,IF(C226="D",1.59,IF(C226="D-",1,""))))))</f>
        <v>2.5099999999999998</v>
      </c>
      <c r="K226" s="5">
        <f>IF(E226="A+",10,IF(E226="A",6.31,IF(E226="B",3.98,IF(E226="C",2.51,IF(E226="D",1.59,IF(E226="D-",1,""))))))</f>
        <v>1.59</v>
      </c>
      <c r="L226" s="5">
        <f>IF(G226="A+",10,IF(G226="A",6.31,IF(G226="B",3.98,IF(G226="C",2.51,IF(G226="D",1.59,IF(G226="D-",1,""))))))</f>
        <v>1.59</v>
      </c>
      <c r="M226" s="6">
        <f>IF(ISNUMBER(J226),J226/(J226+K226+L226),"")</f>
        <v>0.44112478031634444</v>
      </c>
      <c r="N226" s="7">
        <f>IF(ISNUMBER(M226),I226*(1+(1-M226)*0.475),"")</f>
        <v>106.29912126537786</v>
      </c>
    </row>
    <row r="227" spans="1:14" x14ac:dyDescent="0.25">
      <c r="B227" s="4">
        <v>1805</v>
      </c>
      <c r="C227" s="4" t="s">
        <v>137</v>
      </c>
      <c r="D227" s="2" t="s">
        <v>77</v>
      </c>
      <c r="E227" s="4" t="s">
        <v>135</v>
      </c>
      <c r="F227" s="2" t="s">
        <v>27</v>
      </c>
      <c r="G227" s="4" t="s">
        <v>138</v>
      </c>
      <c r="H227" s="2" t="s">
        <v>95</v>
      </c>
      <c r="I227" s="2">
        <v>74</v>
      </c>
      <c r="J227" s="5">
        <f>IF(C227="A+",10,IF(C227="A",6.31,IF(C227="B",3.98,IF(C227="C",2.51,IF(C227="D",1.59,IF(C227="D-",1,""))))))</f>
        <v>2.5099999999999998</v>
      </c>
      <c r="K227" s="5">
        <f>IF(E227="A+",10,IF(E227="A",6.31,IF(E227="B",3.98,IF(E227="C",2.51,IF(E227="D",1.59,IF(E227="D-",1,""))))))</f>
        <v>3.98</v>
      </c>
      <c r="L227" s="5">
        <f>IF(G227="A+",10,IF(G227="A",6.31,IF(G227="B",3.98,IF(G227="C",2.51,IF(G227="D",1.59,IF(G227="D-",1,""))))))</f>
        <v>1.59</v>
      </c>
      <c r="M227" s="6">
        <f>IF(ISNUMBER(J227),J227/(J227+K227+L227),"")</f>
        <v>0.31064356435643564</v>
      </c>
      <c r="N227" s="7">
        <f>IF(ISNUMBER(M227),I227*(1+(1-M227)*0.475),"")</f>
        <v>98.230878712871288</v>
      </c>
    </row>
    <row r="228" spans="1:14" x14ac:dyDescent="0.25">
      <c r="B228" s="4">
        <v>1906</v>
      </c>
      <c r="C228" s="4" t="s">
        <v>137</v>
      </c>
      <c r="D228" s="2" t="s">
        <v>77</v>
      </c>
      <c r="E228" s="4" t="s">
        <v>136</v>
      </c>
      <c r="F228" s="2" t="s">
        <v>82</v>
      </c>
      <c r="G228" s="4" t="s">
        <v>135</v>
      </c>
      <c r="H228" s="2" t="s">
        <v>27</v>
      </c>
      <c r="I228" s="2">
        <v>77</v>
      </c>
      <c r="J228" s="5">
        <f>IF(C228="A+",10,IF(C228="A",6.31,IF(C228="B",3.98,IF(C228="C",2.51,IF(C228="D",1.59,IF(C228="D-",1,""))))))</f>
        <v>2.5099999999999998</v>
      </c>
      <c r="K228" s="5">
        <f>IF(E228="A+",10,IF(E228="A",6.31,IF(E228="B",3.98,IF(E228="C",2.51,IF(E228="D",1.59,IF(E228="D-",1,""))))))</f>
        <v>6.31</v>
      </c>
      <c r="L228" s="5">
        <f>IF(G228="A+",10,IF(G228="A",6.31,IF(G228="B",3.98,IF(G228="C",2.51,IF(G228="D",1.59,IF(G228="D-",1,""))))))</f>
        <v>3.98</v>
      </c>
      <c r="M228" s="6">
        <f>IF(ISNUMBER(J228),J228/(J228+K228+L228),"")</f>
        <v>0.19609374999999998</v>
      </c>
      <c r="N228" s="7">
        <f>IF(ISNUMBER(M228),I228*(1+(1-M228)*0.475),"")</f>
        <v>106.40287109374999</v>
      </c>
    </row>
    <row r="229" spans="1:14" x14ac:dyDescent="0.25">
      <c r="M229" s="3" t="s">
        <v>17</v>
      </c>
      <c r="N229" s="8">
        <f>IF(ISNUMBER(M228),AVERAGE(N226:N228),"")</f>
        <v>103.64429035733305</v>
      </c>
    </row>
    <row r="230" spans="1:14" x14ac:dyDescent="0.25">
      <c r="M230" s="3" t="s">
        <v>18</v>
      </c>
      <c r="N230" s="8">
        <f>IF(ISNUMBER(N229),(N229-69.8)*(113/118),"")</f>
        <v>32.41021025744606</v>
      </c>
    </row>
    <row r="232" spans="1:14" x14ac:dyDescent="0.25">
      <c r="A232" s="2" t="s">
        <v>83</v>
      </c>
      <c r="B232" s="4">
        <v>1608</v>
      </c>
      <c r="C232" s="4"/>
      <c r="D232" s="2" t="s">
        <v>83</v>
      </c>
      <c r="E232" s="4"/>
      <c r="F232" s="2" t="s">
        <v>82</v>
      </c>
      <c r="G232" s="4"/>
      <c r="H232" s="2" t="s">
        <v>27</v>
      </c>
      <c r="I232" s="2">
        <v>73</v>
      </c>
      <c r="J232" s="5" t="str">
        <f>IF(C232="A+",10,IF(C232="A",6.31,IF(C232="B",3.98,IF(C232="C",2.51,IF(C232="D",1.59,IF(C232="D-",1,""))))))</f>
        <v/>
      </c>
      <c r="K232" s="5" t="str">
        <f>IF(E232="A+",10,IF(E232="A",6.31,IF(E232="B",3.98,IF(E232="C",2.51,IF(E232="D",1.59,IF(E232="D-",1,""))))))</f>
        <v/>
      </c>
      <c r="L232" s="5" t="str">
        <f>IF(G232="A+",10,IF(G232="A",6.31,IF(G232="B",3.98,IF(G232="C",2.51,IF(G232="D",1.59,IF(G232="D-",1,""))))))</f>
        <v/>
      </c>
      <c r="M232" s="6" t="str">
        <f>IF(ISNUMBER(J232),J232/(J232+K232+L232),"")</f>
        <v/>
      </c>
      <c r="N232" s="7" t="str">
        <f>IF(ISNUMBER(M232),I232*(1+(1-M232)*0.475),"")</f>
        <v/>
      </c>
    </row>
    <row r="233" spans="1:14" x14ac:dyDescent="0.25">
      <c r="B233" s="4">
        <v>1705</v>
      </c>
      <c r="C233" s="4"/>
      <c r="D233" s="2" t="s">
        <v>83</v>
      </c>
      <c r="E233" s="4"/>
      <c r="F233" s="2" t="s">
        <v>82</v>
      </c>
      <c r="G233" s="4"/>
      <c r="H233" s="2" t="s">
        <v>27</v>
      </c>
      <c r="I233" s="2">
        <v>75</v>
      </c>
      <c r="J233" s="5" t="str">
        <f>IF(C233="A+",10,IF(C233="A",6.31,IF(C233="B",3.98,IF(C233="C",2.51,IF(C233="D",1.59,IF(C233="D-",1,""))))))</f>
        <v/>
      </c>
      <c r="K233" s="5" t="str">
        <f>IF(E233="A+",10,IF(E233="A",6.31,IF(E233="B",3.98,IF(E233="C",2.51,IF(E233="D",1.59,IF(E233="D-",1,""))))))</f>
        <v/>
      </c>
      <c r="L233" s="5" t="str">
        <f>IF(G233="A+",10,IF(G233="A",6.31,IF(G233="B",3.98,IF(G233="C",2.51,IF(G233="D",1.59,IF(G233="D-",1,""))))))</f>
        <v/>
      </c>
      <c r="M233" s="6" t="str">
        <f>IF(ISNUMBER(J233),J233/(J233+K233+L233),"")</f>
        <v/>
      </c>
      <c r="N233" s="7" t="str">
        <f>IF(ISNUMBER(M233),I233*(1+(1-M233)*0.475),"")</f>
        <v/>
      </c>
    </row>
    <row r="234" spans="1:14" x14ac:dyDescent="0.25">
      <c r="M234" s="3" t="s">
        <v>17</v>
      </c>
      <c r="N234" s="8" t="str">
        <f>IF(ISNUMBER(M233),AVERAGE(N232:N233),"")</f>
        <v/>
      </c>
    </row>
    <row r="235" spans="1:14" x14ac:dyDescent="0.25">
      <c r="M235" s="3" t="s">
        <v>18</v>
      </c>
      <c r="N235" s="8" t="str">
        <f>IF(ISNUMBER(N234),(N234-69.8)*(113/118),"")</f>
        <v/>
      </c>
    </row>
    <row r="237" spans="1:14" x14ac:dyDescent="0.25">
      <c r="A237" s="11" t="s">
        <v>96</v>
      </c>
      <c r="B237" s="10">
        <v>1505</v>
      </c>
      <c r="C237" s="10" t="s">
        <v>135</v>
      </c>
      <c r="D237" s="11" t="s">
        <v>96</v>
      </c>
      <c r="E237" s="10" t="s">
        <v>136</v>
      </c>
      <c r="F237" s="11" t="s">
        <v>91</v>
      </c>
      <c r="G237" s="10" t="s">
        <v>137</v>
      </c>
      <c r="H237" s="11" t="s">
        <v>92</v>
      </c>
      <c r="I237" s="11">
        <v>71</v>
      </c>
      <c r="J237" s="12">
        <f>IF(C237="A+",10,IF(C237="A",6.31,IF(C237="B",3.98,IF(C237="C",2.51,IF(C237="D",1.59,IF(C237="D-",1,""))))))</f>
        <v>3.98</v>
      </c>
      <c r="K237" s="12">
        <f>IF(E237="A+",10,IF(E237="A",6.31,IF(E237="B",3.98,IF(E237="C",2.51,IF(E237="D",1.59,IF(E237="D-",1,""))))))</f>
        <v>6.31</v>
      </c>
      <c r="L237" s="12">
        <f>IF(G237="A+",10,IF(G237="A",6.31,IF(G237="B",3.98,IF(G237="C",2.51,IF(G237="D",1.59,IF(G237="D-",1,""))))))</f>
        <v>2.5099999999999998</v>
      </c>
      <c r="M237" s="13">
        <f>IF(ISNUMBER(J237),J237/(J237+K237+L237),"")</f>
        <v>0.31093750000000003</v>
      </c>
      <c r="N237" s="14">
        <f>IF(ISNUMBER(M237),I237*(1+(1-M237)*0.475),"")</f>
        <v>94.238632812499986</v>
      </c>
    </row>
    <row r="238" spans="1:14" x14ac:dyDescent="0.25">
      <c r="A238" s="11"/>
      <c r="B238" s="10">
        <v>1705</v>
      </c>
      <c r="C238" s="10" t="s">
        <v>135</v>
      </c>
      <c r="D238" s="11" t="s">
        <v>96</v>
      </c>
      <c r="E238" s="10" t="s">
        <v>136</v>
      </c>
      <c r="F238" s="11" t="s">
        <v>91</v>
      </c>
      <c r="G238" s="10" t="s">
        <v>139</v>
      </c>
      <c r="H238" s="11" t="s">
        <v>97</v>
      </c>
      <c r="I238" s="11">
        <v>71</v>
      </c>
      <c r="J238" s="12">
        <f>IF(C238="A+",10,IF(C238="A",6.31,IF(C238="B",3.98,IF(C238="C",2.51,IF(C238="D",1.59,IF(C238="D-",1,""))))))</f>
        <v>3.98</v>
      </c>
      <c r="K238" s="12">
        <f>IF(E238="A+",10,IF(E238="A",6.31,IF(E238="B",3.98,IF(E238="C",2.51,IF(E238="D",1.59,IF(E238="D-",1,""))))))</f>
        <v>6.31</v>
      </c>
      <c r="L238" s="12">
        <f>IF(G238="A+",10,IF(G238="A",6.31,IF(G238="B",3.98,IF(G238="C",2.51,IF(G238="D",1.59,IF(G238="D-",1,""))))))</f>
        <v>1</v>
      </c>
      <c r="M238" s="13">
        <f>IF(ISNUMBER(J238),J238/(J238+K238+L238),"")</f>
        <v>0.35252435783879543</v>
      </c>
      <c r="N238" s="14">
        <f>IF(ISNUMBER(M238),I238*(1+(1-M238)*0.475),"")</f>
        <v>92.836116031886633</v>
      </c>
    </row>
    <row r="239" spans="1:14" x14ac:dyDescent="0.25">
      <c r="A239" s="11"/>
      <c r="B239" s="10">
        <v>1805</v>
      </c>
      <c r="C239" s="10" t="s">
        <v>135</v>
      </c>
      <c r="D239" s="11" t="s">
        <v>96</v>
      </c>
      <c r="E239" s="10" t="s">
        <v>136</v>
      </c>
      <c r="F239" s="11" t="s">
        <v>91</v>
      </c>
      <c r="G239" s="10" t="s">
        <v>137</v>
      </c>
      <c r="H239" s="11" t="s">
        <v>92</v>
      </c>
      <c r="I239" s="11">
        <v>72</v>
      </c>
      <c r="J239" s="12">
        <f>IF(C239="A+",10,IF(C239="A",6.31,IF(C239="B",3.98,IF(C239="C",2.51,IF(C239="D",1.59,IF(C239="D-",1,""))))))</f>
        <v>3.98</v>
      </c>
      <c r="K239" s="12">
        <f>IF(E239="A+",10,IF(E239="A",6.31,IF(E239="B",3.98,IF(E239="C",2.51,IF(E239="D",1.59,IF(E239="D-",1,""))))))</f>
        <v>6.31</v>
      </c>
      <c r="L239" s="12">
        <f>IF(G239="A+",10,IF(G239="A",6.31,IF(G239="B",3.98,IF(G239="C",2.51,IF(G239="D",1.59,IF(G239="D-",1,""))))))</f>
        <v>2.5099999999999998</v>
      </c>
      <c r="M239" s="13">
        <f>IF(ISNUMBER(J239),J239/(J239+K239+L239),"")</f>
        <v>0.31093750000000003</v>
      </c>
      <c r="N239" s="14">
        <f>IF(ISNUMBER(M239),I239*(1+(1-M239)*0.475),"")</f>
        <v>95.56593749999999</v>
      </c>
    </row>
    <row r="240" spans="1:14" x14ac:dyDescent="0.25">
      <c r="A240" s="11"/>
      <c r="B240" s="10">
        <v>1906</v>
      </c>
      <c r="C240" s="10" t="s">
        <v>135</v>
      </c>
      <c r="D240" s="11" t="s">
        <v>96</v>
      </c>
      <c r="E240" s="10" t="s">
        <v>136</v>
      </c>
      <c r="F240" s="11" t="s">
        <v>91</v>
      </c>
      <c r="G240" s="10" t="s">
        <v>137</v>
      </c>
      <c r="H240" s="11" t="s">
        <v>92</v>
      </c>
      <c r="I240" s="11">
        <v>76</v>
      </c>
      <c r="J240" s="12">
        <f>IF(C240="A+",10,IF(C240="A",6.31,IF(C240="B",3.98,IF(C240="C",2.51,IF(C240="D",1.59,IF(C240="D-",1,""))))))</f>
        <v>3.98</v>
      </c>
      <c r="K240" s="12">
        <f>IF(E240="A+",10,IF(E240="A",6.31,IF(E240="B",3.98,IF(E240="C",2.51,IF(E240="D",1.59,IF(E240="D-",1,""))))))</f>
        <v>6.31</v>
      </c>
      <c r="L240" s="12">
        <f>IF(G240="A+",10,IF(G240="A",6.31,IF(G240="B",3.98,IF(G240="C",2.51,IF(G240="D",1.59,IF(G240="D-",1,""))))))</f>
        <v>2.5099999999999998</v>
      </c>
      <c r="M240" s="13">
        <f>IF(ISNUMBER(J240),J240/(J240+K240+L240),"")</f>
        <v>0.31093750000000003</v>
      </c>
      <c r="N240" s="14">
        <f>IF(ISNUMBER(M240),I240*(1+(1-M240)*0.475),"")</f>
        <v>100.87515624999999</v>
      </c>
    </row>
    <row r="241" spans="1:14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9" t="s">
        <v>17</v>
      </c>
      <c r="N241" s="15">
        <f>IF(ISNUMBER(M240),AVERAGE(N237:N240),"")</f>
        <v>95.878960648596646</v>
      </c>
    </row>
    <row r="242" spans="1:14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9" t="s">
        <v>18</v>
      </c>
      <c r="N242" s="15">
        <f>IF(ISNUMBER(N241),(N241-69.8)*(113/118),"")</f>
        <v>24.973919943147639</v>
      </c>
    </row>
    <row r="244" spans="1:14" x14ac:dyDescent="0.25">
      <c r="A244" s="2" t="s">
        <v>89</v>
      </c>
      <c r="B244" s="4">
        <v>1505</v>
      </c>
      <c r="C244" s="4"/>
      <c r="D244" s="2" t="s">
        <v>89</v>
      </c>
      <c r="E244" s="4"/>
      <c r="F244" s="2" t="s">
        <v>88</v>
      </c>
      <c r="G244" s="4"/>
      <c r="H244" s="2" t="s">
        <v>90</v>
      </c>
      <c r="I244" s="2">
        <v>67</v>
      </c>
      <c r="J244" s="5" t="str">
        <f>IF(C244="A+",10,IF(C244="A",6.31,IF(C244="B",3.98,IF(C244="C",2.51,IF(C244="D",1.59,IF(C244="D-",1,""))))))</f>
        <v/>
      </c>
      <c r="K244" s="5" t="str">
        <f>IF(E244="A+",10,IF(E244="A",6.31,IF(E244="B",3.98,IF(E244="C",2.51,IF(E244="D",1.59,IF(E244="D-",1,""))))))</f>
        <v/>
      </c>
      <c r="L244" s="5" t="str">
        <f>IF(G244="A+",10,IF(G244="A",6.31,IF(G244="B",3.98,IF(G244="C",2.51,IF(G244="D",1.59,IF(G244="D-",1,""))))))</f>
        <v/>
      </c>
      <c r="M244" s="6" t="str">
        <f>IF(ISNUMBER(J244),J244/(J244+K244+L244),"")</f>
        <v/>
      </c>
      <c r="N244" s="7" t="str">
        <f>IF(ISNUMBER(M244),I244*(1+(1-M244)*0.475),"")</f>
        <v/>
      </c>
    </row>
    <row r="245" spans="1:14" x14ac:dyDescent="0.25">
      <c r="B245" s="4">
        <v>1508</v>
      </c>
      <c r="C245" s="4"/>
      <c r="D245" s="2" t="s">
        <v>89</v>
      </c>
      <c r="E245" s="4"/>
      <c r="F245" s="2" t="s">
        <v>88</v>
      </c>
      <c r="G245" s="4"/>
      <c r="H245" s="2" t="s">
        <v>90</v>
      </c>
      <c r="I245" s="2">
        <v>64</v>
      </c>
      <c r="J245" s="5" t="str">
        <f>IF(C245="A+",10,IF(C245="A",6.31,IF(C245="B",3.98,IF(C245="C",2.51,IF(C245="D",1.59,IF(C245="D-",1,""))))))</f>
        <v/>
      </c>
      <c r="K245" s="5" t="str">
        <f>IF(E245="A+",10,IF(E245="A",6.31,IF(E245="B",3.98,IF(E245="C",2.51,IF(E245="D",1.59,IF(E245="D-",1,""))))))</f>
        <v/>
      </c>
      <c r="L245" s="5" t="str">
        <f>IF(G245="A+",10,IF(G245="A",6.31,IF(G245="B",3.98,IF(G245="C",2.51,IF(G245="D",1.59,IF(G245="D-",1,""))))))</f>
        <v/>
      </c>
      <c r="M245" s="6" t="str">
        <f>IF(ISNUMBER(J245),J245/(J245+K245+L245),"")</f>
        <v/>
      </c>
      <c r="N245" s="7" t="str">
        <f>IF(ISNUMBER(M245),I245*(1+(1-M245)*0.475),"")</f>
        <v/>
      </c>
    </row>
    <row r="246" spans="1:14" x14ac:dyDescent="0.25">
      <c r="M246" s="3" t="s">
        <v>17</v>
      </c>
      <c r="N246" s="8" t="str">
        <f>IF(ISNUMBER(M245),AVERAGE(N244:N245),"")</f>
        <v/>
      </c>
    </row>
    <row r="247" spans="1:14" x14ac:dyDescent="0.25">
      <c r="M247" s="3" t="s">
        <v>18</v>
      </c>
      <c r="N247" s="8" t="str">
        <f>IF(ISNUMBER(N246),(N246-69.8)*(113/118),"")</f>
        <v/>
      </c>
    </row>
    <row r="249" spans="1:14" x14ac:dyDescent="0.25">
      <c r="A249" s="11" t="s">
        <v>92</v>
      </c>
      <c r="B249" s="10">
        <v>1505</v>
      </c>
      <c r="C249" s="10" t="s">
        <v>137</v>
      </c>
      <c r="D249" s="11" t="s">
        <v>92</v>
      </c>
      <c r="E249" s="10" t="s">
        <v>136</v>
      </c>
      <c r="F249" s="11" t="s">
        <v>91</v>
      </c>
      <c r="G249" s="10" t="s">
        <v>135</v>
      </c>
      <c r="H249" s="11" t="s">
        <v>96</v>
      </c>
      <c r="I249" s="11">
        <v>71</v>
      </c>
      <c r="J249" s="12">
        <f>IF(C249="A+",10,IF(C249="A",6.31,IF(C249="B",3.98,IF(C249="C",2.51,IF(C249="D",1.59,IF(C249="D-",1,""))))))</f>
        <v>2.5099999999999998</v>
      </c>
      <c r="K249" s="12">
        <f>IF(E249="A+",10,IF(E249="A",6.31,IF(E249="B",3.98,IF(E249="C",2.51,IF(E249="D",1.59,IF(E249="D-",1,""))))))</f>
        <v>6.31</v>
      </c>
      <c r="L249" s="12">
        <f>IF(G249="A+",10,IF(G249="A",6.31,IF(G249="B",3.98,IF(G249="C",2.51,IF(G249="D",1.59,IF(G249="D-",1,""))))))</f>
        <v>3.98</v>
      </c>
      <c r="M249" s="13">
        <f>IF(ISNUMBER(J249),J249/(J249+K249+L249),"")</f>
        <v>0.19609374999999998</v>
      </c>
      <c r="N249" s="14">
        <f>IF(ISNUMBER(M249),I249*(1+(1-M249)*0.475),"")</f>
        <v>98.111738281249998</v>
      </c>
    </row>
    <row r="250" spans="1:14" x14ac:dyDescent="0.25">
      <c r="A250" s="11"/>
      <c r="B250" s="10">
        <v>1608</v>
      </c>
      <c r="C250" s="10" t="s">
        <v>137</v>
      </c>
      <c r="D250" s="11" t="s">
        <v>92</v>
      </c>
      <c r="E250" s="10" t="s">
        <v>135</v>
      </c>
      <c r="F250" s="11" t="s">
        <v>73</v>
      </c>
      <c r="G250" s="10" t="s">
        <v>136</v>
      </c>
      <c r="H250" s="11" t="s">
        <v>91</v>
      </c>
      <c r="I250" s="11">
        <v>65</v>
      </c>
      <c r="J250" s="12">
        <f>IF(C250="A+",10,IF(C250="A",6.31,IF(C250="B",3.98,IF(C250="C",2.51,IF(C250="D",1.59,IF(C250="D-",1,""))))))</f>
        <v>2.5099999999999998</v>
      </c>
      <c r="K250" s="12">
        <f>IF(E250="A+",10,IF(E250="A",6.31,IF(E250="B",3.98,IF(E250="C",2.51,IF(E250="D",1.59,IF(E250="D-",1,""))))))</f>
        <v>3.98</v>
      </c>
      <c r="L250" s="12">
        <f>IF(G250="A+",10,IF(G250="A",6.31,IF(G250="B",3.98,IF(G250="C",2.51,IF(G250="D",1.59,IF(G250="D-",1,""))))))</f>
        <v>6.31</v>
      </c>
      <c r="M250" s="13">
        <f>IF(ISNUMBER(J250),J250/(J250+K250+L250),"")</f>
        <v>0.19609374999999998</v>
      </c>
      <c r="N250" s="14">
        <f>IF(ISNUMBER(M250),I250*(1+(1-M250)*0.475),"")</f>
        <v>89.820605468750003</v>
      </c>
    </row>
    <row r="251" spans="1:14" x14ac:dyDescent="0.25">
      <c r="A251" s="11"/>
      <c r="B251" s="10">
        <v>1805</v>
      </c>
      <c r="C251" s="10" t="s">
        <v>137</v>
      </c>
      <c r="D251" s="11" t="s">
        <v>92</v>
      </c>
      <c r="E251" s="10" t="s">
        <v>136</v>
      </c>
      <c r="F251" s="11" t="s">
        <v>91</v>
      </c>
      <c r="G251" s="10" t="s">
        <v>135</v>
      </c>
      <c r="H251" s="11" t="s">
        <v>96</v>
      </c>
      <c r="I251" s="11">
        <v>72</v>
      </c>
      <c r="J251" s="12">
        <f>IF(C251="A+",10,IF(C251="A",6.31,IF(C251="B",3.98,IF(C251="C",2.51,IF(C251="D",1.59,IF(C251="D-",1,""))))))</f>
        <v>2.5099999999999998</v>
      </c>
      <c r="K251" s="12">
        <f>IF(E251="A+",10,IF(E251="A",6.31,IF(E251="B",3.98,IF(E251="C",2.51,IF(E251="D",1.59,IF(E251="D-",1,""))))))</f>
        <v>6.31</v>
      </c>
      <c r="L251" s="12">
        <f>IF(G251="A+",10,IF(G251="A",6.31,IF(G251="B",3.98,IF(G251="C",2.51,IF(G251="D",1.59,IF(G251="D-",1,""))))))</f>
        <v>3.98</v>
      </c>
      <c r="M251" s="13">
        <f>IF(ISNUMBER(J251),J251/(J251+K251+L251),"")</f>
        <v>0.19609374999999998</v>
      </c>
      <c r="N251" s="14">
        <f>IF(ISNUMBER(M251),I251*(1+(1-M251)*0.475),"")</f>
        <v>99.493593750000002</v>
      </c>
    </row>
    <row r="252" spans="1:14" x14ac:dyDescent="0.25">
      <c r="A252" s="11"/>
      <c r="B252" s="10">
        <v>1906</v>
      </c>
      <c r="C252" s="10" t="s">
        <v>137</v>
      </c>
      <c r="D252" s="11" t="s">
        <v>92</v>
      </c>
      <c r="E252" s="10" t="s">
        <v>136</v>
      </c>
      <c r="F252" s="11" t="s">
        <v>91</v>
      </c>
      <c r="G252" s="10" t="s">
        <v>135</v>
      </c>
      <c r="H252" s="11" t="s">
        <v>96</v>
      </c>
      <c r="I252" s="11">
        <v>76</v>
      </c>
      <c r="J252" s="12">
        <f>IF(C252="A+",10,IF(C252="A",6.31,IF(C252="B",3.98,IF(C252="C",2.51,IF(C252="D",1.59,IF(C252="D-",1,""))))))</f>
        <v>2.5099999999999998</v>
      </c>
      <c r="K252" s="12">
        <f>IF(E252="A+",10,IF(E252="A",6.31,IF(E252="B",3.98,IF(E252="C",2.51,IF(E252="D",1.59,IF(E252="D-",1,""))))))</f>
        <v>6.31</v>
      </c>
      <c r="L252" s="12">
        <f>IF(G252="A+",10,IF(G252="A",6.31,IF(G252="B",3.98,IF(G252="C",2.51,IF(G252="D",1.59,IF(G252="D-",1,""))))))</f>
        <v>3.98</v>
      </c>
      <c r="M252" s="13">
        <f>IF(ISNUMBER(J252),J252/(J252+K252+L252),"")</f>
        <v>0.19609374999999998</v>
      </c>
      <c r="N252" s="14">
        <f>IF(ISNUMBER(M252),I252*(1+(1-M252)*0.475),"")</f>
        <v>105.021015625</v>
      </c>
    </row>
    <row r="253" spans="1:14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9" t="s">
        <v>17</v>
      </c>
      <c r="N253" s="15">
        <f>IF(ISNUMBER(M252),AVERAGE(N249:N252),"")</f>
        <v>98.111738281250013</v>
      </c>
    </row>
    <row r="254" spans="1:14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9" t="s">
        <v>18</v>
      </c>
      <c r="N254" s="15">
        <f>IF(ISNUMBER(N253),(N253-69.8)*(113/118),"")</f>
        <v>27.112088354078406</v>
      </c>
    </row>
    <row r="256" spans="1:14" x14ac:dyDescent="0.25">
      <c r="A256" s="2" t="s">
        <v>47</v>
      </c>
      <c r="B256" s="4">
        <v>1508</v>
      </c>
      <c r="C256" s="4"/>
      <c r="D256" s="2" t="s">
        <v>47</v>
      </c>
      <c r="E256" s="4"/>
      <c r="F256" s="2" t="s">
        <v>22</v>
      </c>
      <c r="G256" s="4"/>
      <c r="H256" s="2" t="s">
        <v>98</v>
      </c>
      <c r="I256" s="2">
        <v>86</v>
      </c>
      <c r="J256" s="5" t="str">
        <f>IF(C256="A+",10,IF(C256="A",6.31,IF(C256="B",3.98,IF(C256="C",2.51,IF(C256="D",1.59,IF(C256="D-",1,""))))))</f>
        <v/>
      </c>
      <c r="K256" s="5" t="str">
        <f>IF(E256="A+",10,IF(E256="A",6.31,IF(E256="B",3.98,IF(E256="C",2.51,IF(E256="D",1.59,IF(E256="D-",1,""))))))</f>
        <v/>
      </c>
      <c r="L256" s="5" t="str">
        <f>IF(G256="A+",10,IF(G256="A",6.31,IF(G256="B",3.98,IF(G256="C",2.51,IF(G256="D",1.59,IF(G256="D-",1,""))))))</f>
        <v/>
      </c>
      <c r="M256" s="6" t="str">
        <f>IF(ISNUMBER(J256),J256/(J256+K256+L256),"")</f>
        <v/>
      </c>
      <c r="N256" s="7" t="str">
        <f>IF(ISNUMBER(M256),I256*(1+(1-M256)*0.475),"")</f>
        <v/>
      </c>
    </row>
    <row r="257" spans="1:14" x14ac:dyDescent="0.25">
      <c r="B257" s="4">
        <v>1705</v>
      </c>
      <c r="C257" s="4"/>
      <c r="D257" s="2" t="s">
        <v>47</v>
      </c>
      <c r="E257" s="4"/>
      <c r="F257" s="2" t="s">
        <v>78</v>
      </c>
      <c r="G257" s="4"/>
      <c r="H257" s="2" t="s">
        <v>20</v>
      </c>
      <c r="I257" s="2">
        <v>75</v>
      </c>
      <c r="J257" s="5" t="str">
        <f>IF(C257="A+",10,IF(C257="A",6.31,IF(C257="B",3.98,IF(C257="C",2.51,IF(C257="D",1.59,IF(C257="D-",1,""))))))</f>
        <v/>
      </c>
      <c r="K257" s="5" t="str">
        <f>IF(E257="A+",10,IF(E257="A",6.31,IF(E257="B",3.98,IF(E257="C",2.51,IF(E257="D",1.59,IF(E257="D-",1,""))))))</f>
        <v/>
      </c>
      <c r="L257" s="5" t="str">
        <f>IF(G257="A+",10,IF(G257="A",6.31,IF(G257="B",3.98,IF(G257="C",2.51,IF(G257="D",1.59,IF(G257="D-",1,""))))))</f>
        <v/>
      </c>
      <c r="M257" s="6" t="str">
        <f>IF(ISNUMBER(J257),J257/(J257+K257+L257),"")</f>
        <v/>
      </c>
      <c r="N257" s="7" t="str">
        <f>IF(ISNUMBER(M257),I257*(1+(1-M257)*0.475),"")</f>
        <v/>
      </c>
    </row>
    <row r="258" spans="1:14" x14ac:dyDescent="0.25">
      <c r="B258" s="4">
        <v>1805</v>
      </c>
      <c r="C258" s="4"/>
      <c r="D258" s="2" t="s">
        <v>47</v>
      </c>
      <c r="E258" s="4"/>
      <c r="F258" s="2" t="s">
        <v>42</v>
      </c>
      <c r="G258" s="4"/>
      <c r="H258" s="2" t="s">
        <v>48</v>
      </c>
      <c r="I258" s="2">
        <v>68</v>
      </c>
      <c r="J258" s="5" t="str">
        <f>IF(C258="A+",10,IF(C258="A",6.31,IF(C258="B",3.98,IF(C258="C",2.51,IF(C258="D",1.59,IF(C258="D-",1,""))))))</f>
        <v/>
      </c>
      <c r="K258" s="5" t="str">
        <f>IF(E258="A+",10,IF(E258="A",6.31,IF(E258="B",3.98,IF(E258="C",2.51,IF(E258="D",1.59,IF(E258="D-",1,""))))))</f>
        <v/>
      </c>
      <c r="L258" s="5" t="str">
        <f>IF(G258="A+",10,IF(G258="A",6.31,IF(G258="B",3.98,IF(G258="C",2.51,IF(G258="D",1.59,IF(G258="D-",1,""))))))</f>
        <v/>
      </c>
      <c r="M258" s="6" t="str">
        <f>IF(ISNUMBER(J258),J258/(J258+K258+L258),"")</f>
        <v/>
      </c>
      <c r="N258" s="7" t="str">
        <f>IF(ISNUMBER(M258),I258*(1+(1-M258)*0.475),"")</f>
        <v/>
      </c>
    </row>
    <row r="259" spans="1:14" x14ac:dyDescent="0.25">
      <c r="M259" s="3" t="s">
        <v>17</v>
      </c>
      <c r="N259" s="8" t="str">
        <f>IF(ISNUMBER(M258),AVERAGE(N256:N258),"")</f>
        <v/>
      </c>
    </row>
    <row r="260" spans="1:14" x14ac:dyDescent="0.25">
      <c r="M260" s="3" t="s">
        <v>18</v>
      </c>
      <c r="N260" s="8" t="str">
        <f>IF(ISNUMBER(N259),(N259-69.8)*(113/118),"")</f>
        <v/>
      </c>
    </row>
    <row r="262" spans="1:14" x14ac:dyDescent="0.25">
      <c r="A262" s="11" t="s">
        <v>25</v>
      </c>
      <c r="B262" s="10">
        <v>1505</v>
      </c>
      <c r="C262" s="10" t="s">
        <v>135</v>
      </c>
      <c r="D262" s="11" t="s">
        <v>25</v>
      </c>
      <c r="E262" s="10" t="s">
        <v>139</v>
      </c>
      <c r="F262" s="11" t="s">
        <v>23</v>
      </c>
      <c r="G262" s="10" t="s">
        <v>136</v>
      </c>
      <c r="H262" s="11" t="s">
        <v>24</v>
      </c>
      <c r="I262" s="11">
        <v>69</v>
      </c>
      <c r="J262" s="12">
        <f>IF(C262="A+",10,IF(C262="A",6.31,IF(C262="B",3.98,IF(C262="C",2.51,IF(C262="D",1.59,IF(C262="D-",1,""))))))</f>
        <v>3.98</v>
      </c>
      <c r="K262" s="12">
        <f>IF(E262="A+",10,IF(E262="A",6.31,IF(E262="B",3.98,IF(E262="C",2.51,IF(E262="D",1.59,IF(E262="D-",1,""))))))</f>
        <v>1</v>
      </c>
      <c r="L262" s="12">
        <f>IF(G262="A+",10,IF(G262="A",6.31,IF(G262="B",3.98,IF(G262="C",2.51,IF(G262="D",1.59,IF(G262="D-",1,""))))))</f>
        <v>6.31</v>
      </c>
      <c r="M262" s="13">
        <f>IF(ISNUMBER(J262),J262/(J262+K262+L262),"")</f>
        <v>0.35252435783879543</v>
      </c>
      <c r="N262" s="14">
        <f>IF(ISNUMBER(M262),I262*(1+(1-M262)*0.475),"")</f>
        <v>90.221014171833474</v>
      </c>
    </row>
    <row r="263" spans="1:14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9" t="s">
        <v>17</v>
      </c>
      <c r="N263" s="15">
        <f>IF(ISNUMBER(M262),AVERAGE(N262:N262),"")</f>
        <v>90.221014171833474</v>
      </c>
    </row>
    <row r="264" spans="1:14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9" t="s">
        <v>18</v>
      </c>
      <c r="N264" s="15">
        <f>IF(ISNUMBER(N263),(N263-69.8)*(113/118),"")</f>
        <v>19.555716961162567</v>
      </c>
    </row>
    <row r="266" spans="1:14" x14ac:dyDescent="0.25">
      <c r="A266" s="2" t="s">
        <v>99</v>
      </c>
      <c r="B266" s="4">
        <v>1505</v>
      </c>
      <c r="C266" s="4"/>
      <c r="D266" s="2" t="s">
        <v>99</v>
      </c>
      <c r="E266" s="4"/>
      <c r="F266" s="2" t="s">
        <v>100</v>
      </c>
      <c r="G266" s="4"/>
      <c r="H266" s="2" t="s">
        <v>55</v>
      </c>
      <c r="I266" s="2">
        <v>75</v>
      </c>
      <c r="J266" s="5" t="str">
        <f>IF(C266="A+",10,IF(C266="A",6.31,IF(C266="B",3.98,IF(C266="C",2.51,IF(C266="D",1.59,IF(C266="D-",1,""))))))</f>
        <v/>
      </c>
      <c r="K266" s="5" t="str">
        <f>IF(E266="A+",10,IF(E266="A",6.31,IF(E266="B",3.98,IF(E266="C",2.51,IF(E266="D",1.59,IF(E266="D-",1,""))))))</f>
        <v/>
      </c>
      <c r="L266" s="5" t="str">
        <f>IF(G266="A+",10,IF(G266="A",6.31,IF(G266="B",3.98,IF(G266="C",2.51,IF(G266="D",1.59,IF(G266="D-",1,""))))))</f>
        <v/>
      </c>
      <c r="M266" s="6" t="str">
        <f>IF(ISNUMBER(J266),J266/(J266+K266+L266),"")</f>
        <v/>
      </c>
      <c r="N266" s="7" t="str">
        <f>IF(ISNUMBER(M266),I266*(1+(1-M266)*0.475),"")</f>
        <v/>
      </c>
    </row>
    <row r="267" spans="1:14" x14ac:dyDescent="0.25">
      <c r="B267" s="4">
        <v>1805</v>
      </c>
      <c r="C267" s="4"/>
      <c r="D267" s="2" t="s">
        <v>99</v>
      </c>
      <c r="E267" s="4"/>
      <c r="F267" s="2" t="s">
        <v>101</v>
      </c>
      <c r="G267" s="4"/>
      <c r="H267" s="2" t="s">
        <v>102</v>
      </c>
      <c r="I267" s="2">
        <v>64</v>
      </c>
      <c r="J267" s="5" t="str">
        <f>IF(C267="A+",10,IF(C267="A",6.31,IF(C267="B",3.98,IF(C267="C",2.51,IF(C267="D",1.59,IF(C267="D-",1,""))))))</f>
        <v/>
      </c>
      <c r="K267" s="5" t="str">
        <f>IF(E267="A+",10,IF(E267="A",6.31,IF(E267="B",3.98,IF(E267="C",2.51,IF(E267="D",1.59,IF(E267="D-",1,""))))))</f>
        <v/>
      </c>
      <c r="L267" s="5" t="str">
        <f>IF(G267="A+",10,IF(G267="A",6.31,IF(G267="B",3.98,IF(G267="C",2.51,IF(G267="D",1.59,IF(G267="D-",1,""))))))</f>
        <v/>
      </c>
      <c r="M267" s="6" t="str">
        <f>IF(ISNUMBER(J267),J267/(J267+K267+L267),"")</f>
        <v/>
      </c>
      <c r="N267" s="7" t="str">
        <f>IF(ISNUMBER(M267),I267*(1+(1-M267)*0.475),"")</f>
        <v/>
      </c>
    </row>
    <row r="268" spans="1:14" x14ac:dyDescent="0.25">
      <c r="M268" s="3" t="s">
        <v>17</v>
      </c>
      <c r="N268" s="8" t="str">
        <f>IF(ISNUMBER(M267),AVERAGE(N266:N267),"")</f>
        <v/>
      </c>
    </row>
    <row r="269" spans="1:14" x14ac:dyDescent="0.25">
      <c r="M269" s="3" t="s">
        <v>18</v>
      </c>
      <c r="N269" s="8" t="str">
        <f>IF(ISNUMBER(N268),(N268-69.8)*(113/118),"")</f>
        <v/>
      </c>
    </row>
    <row r="271" spans="1:14" x14ac:dyDescent="0.25">
      <c r="A271" s="2" t="s">
        <v>100</v>
      </c>
      <c r="B271" s="4">
        <v>1505</v>
      </c>
      <c r="C271" s="4"/>
      <c r="D271" s="2" t="s">
        <v>100</v>
      </c>
      <c r="E271" s="4"/>
      <c r="F271" s="2" t="s">
        <v>99</v>
      </c>
      <c r="G271" s="4"/>
      <c r="H271" s="2" t="s">
        <v>55</v>
      </c>
      <c r="I271" s="2">
        <v>75</v>
      </c>
      <c r="J271" s="5" t="str">
        <f>IF(C271="A+",10,IF(C271="A",6.31,IF(C271="B",3.98,IF(C271="C",2.51,IF(C271="D",1.59,IF(C271="D-",1,""))))))</f>
        <v/>
      </c>
      <c r="K271" s="5" t="str">
        <f>IF(E271="A+",10,IF(E271="A",6.31,IF(E271="B",3.98,IF(E271="C",2.51,IF(E271="D",1.59,IF(E271="D-",1,""))))))</f>
        <v/>
      </c>
      <c r="L271" s="5" t="str">
        <f>IF(G271="A+",10,IF(G271="A",6.31,IF(G271="B",3.98,IF(G271="C",2.51,IF(G271="D",1.59,IF(G271="D-",1,""))))))</f>
        <v/>
      </c>
      <c r="M271" s="6" t="str">
        <f>IF(ISNUMBER(J271),J271/(J271+K271+L271),"")</f>
        <v/>
      </c>
      <c r="N271" s="7" t="str">
        <f>IF(ISNUMBER(M271),I271*(1+(1-M271)*0.475),"")</f>
        <v/>
      </c>
    </row>
    <row r="272" spans="1:14" x14ac:dyDescent="0.25">
      <c r="B272" s="4">
        <v>1705</v>
      </c>
      <c r="C272" s="4"/>
      <c r="D272" s="2" t="s">
        <v>100</v>
      </c>
      <c r="E272" s="4"/>
      <c r="F272" s="2" t="s">
        <v>103</v>
      </c>
      <c r="G272" s="4"/>
      <c r="H272" s="2" t="s">
        <v>55</v>
      </c>
      <c r="I272" s="2">
        <v>71</v>
      </c>
      <c r="J272" s="5" t="str">
        <f>IF(C272="A+",10,IF(C272="A",6.31,IF(C272="B",3.98,IF(C272="C",2.51,IF(C272="D",1.59,IF(C272="D-",1,""))))))</f>
        <v/>
      </c>
      <c r="K272" s="5" t="str">
        <f>IF(E272="A+",10,IF(E272="A",6.31,IF(E272="B",3.98,IF(E272="C",2.51,IF(E272="D",1.59,IF(E272="D-",1,""))))))</f>
        <v/>
      </c>
      <c r="L272" s="5" t="str">
        <f>IF(G272="A+",10,IF(G272="A",6.31,IF(G272="B",3.98,IF(G272="C",2.51,IF(G272="D",1.59,IF(G272="D-",1,""))))))</f>
        <v/>
      </c>
      <c r="M272" s="6" t="str">
        <f>IF(ISNUMBER(J272),J272/(J272+K272+L272),"")</f>
        <v/>
      </c>
      <c r="N272" s="7" t="str">
        <f>IF(ISNUMBER(M272),I272*(1+(1-M272)*0.475),"")</f>
        <v/>
      </c>
    </row>
    <row r="273" spans="1:14" x14ac:dyDescent="0.25">
      <c r="M273" s="3" t="s">
        <v>17</v>
      </c>
      <c r="N273" s="8" t="str">
        <f>IF(ISNUMBER(M272),AVERAGE(N271:N272),"")</f>
        <v/>
      </c>
    </row>
    <row r="274" spans="1:14" x14ac:dyDescent="0.25">
      <c r="M274" s="3" t="s">
        <v>18</v>
      </c>
      <c r="N274" s="8" t="str">
        <f>IF(ISNUMBER(N273),(N273-69.8)*(113/118),"")</f>
        <v/>
      </c>
    </row>
    <row r="276" spans="1:14" x14ac:dyDescent="0.25">
      <c r="A276" s="11" t="s">
        <v>104</v>
      </c>
      <c r="B276" s="10">
        <v>1508</v>
      </c>
      <c r="C276" s="10" t="s">
        <v>137</v>
      </c>
      <c r="D276" s="11" t="s">
        <v>104</v>
      </c>
      <c r="E276" s="10" t="s">
        <v>135</v>
      </c>
      <c r="F276" s="11" t="s">
        <v>19</v>
      </c>
      <c r="G276" s="10" t="s">
        <v>139</v>
      </c>
      <c r="H276" s="11" t="s">
        <v>105</v>
      </c>
      <c r="I276" s="11">
        <v>82</v>
      </c>
      <c r="J276" s="12">
        <f>IF(C276="A+",10,IF(C276="A",6.31,IF(C276="B",3.98,IF(C276="C",2.51,IF(C276="D",1.59,IF(C276="D-",1,""))))))</f>
        <v>2.5099999999999998</v>
      </c>
      <c r="K276" s="12">
        <f>IF(E276="A+",10,IF(E276="A",6.31,IF(E276="B",3.98,IF(E276="C",2.51,IF(E276="D",1.59,IF(E276="D-",1,""))))))</f>
        <v>3.98</v>
      </c>
      <c r="L276" s="12">
        <f>IF(G276="A+",10,IF(G276="A",6.31,IF(G276="B",3.98,IF(G276="C",2.51,IF(G276="D",1.59,IF(G276="D-",1,""))))))</f>
        <v>1</v>
      </c>
      <c r="M276" s="13">
        <f>IF(ISNUMBER(J276),J276/(J276+K276+L276),"")</f>
        <v>0.33511348464619489</v>
      </c>
      <c r="N276" s="14">
        <f>IF(ISNUMBER(M276),I276*(1+(1-M276)*0.475),"")</f>
        <v>107.89732977303071</v>
      </c>
    </row>
    <row r="277" spans="1:14" x14ac:dyDescent="0.25">
      <c r="A277" s="11"/>
      <c r="B277" s="10">
        <v>1608</v>
      </c>
      <c r="C277" s="10" t="s">
        <v>137</v>
      </c>
      <c r="D277" s="11" t="s">
        <v>104</v>
      </c>
      <c r="E277" s="10" t="s">
        <v>135</v>
      </c>
      <c r="F277" s="11" t="s">
        <v>19</v>
      </c>
      <c r="G277" s="10" t="s">
        <v>139</v>
      </c>
      <c r="H277" s="11" t="s">
        <v>105</v>
      </c>
      <c r="I277" s="11">
        <v>77</v>
      </c>
      <c r="J277" s="12">
        <f>IF(C277="A+",10,IF(C277="A",6.31,IF(C277="B",3.98,IF(C277="C",2.51,IF(C277="D",1.59,IF(C277="D-",1,""))))))</f>
        <v>2.5099999999999998</v>
      </c>
      <c r="K277" s="12">
        <f>IF(E277="A+",10,IF(E277="A",6.31,IF(E277="B",3.98,IF(E277="C",2.51,IF(E277="D",1.59,IF(E277="D-",1,""))))))</f>
        <v>3.98</v>
      </c>
      <c r="L277" s="12">
        <f>IF(G277="A+",10,IF(G277="A",6.31,IF(G277="B",3.98,IF(G277="C",2.51,IF(G277="D",1.59,IF(G277="D-",1,""))))))</f>
        <v>1</v>
      </c>
      <c r="M277" s="13">
        <f>IF(ISNUMBER(J277),J277/(J277+K277+L277),"")</f>
        <v>0.33511348464619489</v>
      </c>
      <c r="N277" s="14">
        <f>IF(ISNUMBER(M277),I277*(1+(1-M277)*0.475),"")</f>
        <v>101.31822429906541</v>
      </c>
    </row>
    <row r="278" spans="1:14" x14ac:dyDescent="0.25">
      <c r="A278" s="11"/>
      <c r="B278" s="10">
        <v>1808</v>
      </c>
      <c r="C278" s="10" t="s">
        <v>137</v>
      </c>
      <c r="D278" s="11" t="s">
        <v>104</v>
      </c>
      <c r="E278" s="10" t="s">
        <v>135</v>
      </c>
      <c r="F278" s="11" t="s">
        <v>19</v>
      </c>
      <c r="G278" s="10" t="s">
        <v>136</v>
      </c>
      <c r="H278" s="11" t="s">
        <v>106</v>
      </c>
      <c r="I278" s="11">
        <v>73</v>
      </c>
      <c r="J278" s="12">
        <f>IF(C278="A+",10,IF(C278="A",6.31,IF(C278="B",3.98,IF(C278="C",2.51,IF(C278="D",1.59,IF(C278="D-",1,""))))))</f>
        <v>2.5099999999999998</v>
      </c>
      <c r="K278" s="12">
        <f>IF(E278="A+",10,IF(E278="A",6.31,IF(E278="B",3.98,IF(E278="C",2.51,IF(E278="D",1.59,IF(E278="D-",1,""))))))</f>
        <v>3.98</v>
      </c>
      <c r="L278" s="12">
        <f>IF(G278="A+",10,IF(G278="A",6.31,IF(G278="B",3.98,IF(G278="C",2.51,IF(G278="D",1.59,IF(G278="D-",1,""))))))</f>
        <v>6.31</v>
      </c>
      <c r="M278" s="13">
        <f>IF(ISNUMBER(J278),J278/(J278+K278+L278),"")</f>
        <v>0.19609374999999998</v>
      </c>
      <c r="N278" s="14">
        <f>IF(ISNUMBER(M278),I278*(1+(1-M278)*0.475),"")</f>
        <v>100.87544921874999</v>
      </c>
    </row>
    <row r="279" spans="1:14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9" t="s">
        <v>17</v>
      </c>
      <c r="N279" s="15">
        <f>IF(ISNUMBER(M278),AVERAGE(N276:N278),"")</f>
        <v>103.36366776361535</v>
      </c>
    </row>
    <row r="280" spans="1:14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9" t="s">
        <v>18</v>
      </c>
      <c r="N280" s="15">
        <f>IF(ISNUMBER(N279),(N279-69.8)*(113/118),"")</f>
        <v>32.141478451597756</v>
      </c>
    </row>
    <row r="282" spans="1:14" x14ac:dyDescent="0.25">
      <c r="A282" s="11" t="s">
        <v>19</v>
      </c>
      <c r="B282" s="10">
        <v>1505</v>
      </c>
      <c r="C282" s="10" t="s">
        <v>135</v>
      </c>
      <c r="D282" s="11" t="s">
        <v>19</v>
      </c>
      <c r="E282" s="10" t="s">
        <v>135</v>
      </c>
      <c r="F282" s="11" t="s">
        <v>15</v>
      </c>
      <c r="G282" s="10" t="s">
        <v>135</v>
      </c>
      <c r="H282" s="11" t="s">
        <v>20</v>
      </c>
      <c r="I282" s="11">
        <v>71</v>
      </c>
      <c r="J282" s="12">
        <f t="shared" ref="J282:J288" si="24">IF(C282="A+",10,IF(C282="A",6.31,IF(C282="B",3.98,IF(C282="C",2.51,IF(C282="D",1.59,IF(C282="D-",1,""))))))</f>
        <v>3.98</v>
      </c>
      <c r="K282" s="12">
        <f t="shared" ref="K282:K288" si="25">IF(E282="A+",10,IF(E282="A",6.31,IF(E282="B",3.98,IF(E282="C",2.51,IF(E282="D",1.59,IF(E282="D-",1,""))))))</f>
        <v>3.98</v>
      </c>
      <c r="L282" s="12">
        <f t="shared" ref="L282:L288" si="26">IF(G282="A+",10,IF(G282="A",6.31,IF(G282="B",3.98,IF(G282="C",2.51,IF(G282="D",1.59,IF(G282="D-",1,""))))))</f>
        <v>3.98</v>
      </c>
      <c r="M282" s="13">
        <f t="shared" ref="M282:M288" si="27">IF(ISNUMBER(J282),J282/(J282+K282+L282),"")</f>
        <v>0.33333333333333337</v>
      </c>
      <c r="N282" s="14">
        <f t="shared" ref="N282:N288" si="28">IF(ISNUMBER(M282),I282*(1+(1-M282)*0.475),"")</f>
        <v>93.483333333333334</v>
      </c>
    </row>
    <row r="283" spans="1:14" x14ac:dyDescent="0.25">
      <c r="A283" s="11"/>
      <c r="B283" s="10">
        <v>1508</v>
      </c>
      <c r="C283" s="10" t="s">
        <v>135</v>
      </c>
      <c r="D283" s="11" t="s">
        <v>19</v>
      </c>
      <c r="E283" s="10" t="s">
        <v>137</v>
      </c>
      <c r="F283" s="11" t="s">
        <v>104</v>
      </c>
      <c r="G283" s="10" t="s">
        <v>139</v>
      </c>
      <c r="H283" s="11" t="s">
        <v>105</v>
      </c>
      <c r="I283" s="11">
        <v>82</v>
      </c>
      <c r="J283" s="12">
        <f t="shared" si="24"/>
        <v>3.98</v>
      </c>
      <c r="K283" s="12">
        <f t="shared" si="25"/>
        <v>2.5099999999999998</v>
      </c>
      <c r="L283" s="12">
        <f t="shared" si="26"/>
        <v>1</v>
      </c>
      <c r="M283" s="13">
        <f t="shared" si="27"/>
        <v>0.53137516688918551</v>
      </c>
      <c r="N283" s="14">
        <f t="shared" si="28"/>
        <v>100.25293724966623</v>
      </c>
    </row>
    <row r="284" spans="1:14" x14ac:dyDescent="0.25">
      <c r="A284" s="11"/>
      <c r="B284" s="10">
        <v>1608</v>
      </c>
      <c r="C284" s="10" t="s">
        <v>135</v>
      </c>
      <c r="D284" s="11" t="s">
        <v>19</v>
      </c>
      <c r="E284" s="10" t="s">
        <v>137</v>
      </c>
      <c r="F284" s="11" t="s">
        <v>104</v>
      </c>
      <c r="G284" s="10" t="s">
        <v>139</v>
      </c>
      <c r="H284" s="11" t="s">
        <v>105</v>
      </c>
      <c r="I284" s="11">
        <v>77</v>
      </c>
      <c r="J284" s="12">
        <f t="shared" si="24"/>
        <v>3.98</v>
      </c>
      <c r="K284" s="12">
        <f t="shared" si="25"/>
        <v>2.5099999999999998</v>
      </c>
      <c r="L284" s="12">
        <f t="shared" si="26"/>
        <v>1</v>
      </c>
      <c r="M284" s="13">
        <f t="shared" si="27"/>
        <v>0.53137516688918551</v>
      </c>
      <c r="N284" s="14">
        <f t="shared" si="28"/>
        <v>94.139953271028048</v>
      </c>
    </row>
    <row r="285" spans="1:14" x14ac:dyDescent="0.25">
      <c r="A285" s="11"/>
      <c r="B285" s="10">
        <v>1705</v>
      </c>
      <c r="C285" s="10" t="s">
        <v>135</v>
      </c>
      <c r="D285" s="11" t="s">
        <v>19</v>
      </c>
      <c r="E285" s="10" t="s">
        <v>139</v>
      </c>
      <c r="F285" s="11" t="s">
        <v>105</v>
      </c>
      <c r="G285" s="10" t="s">
        <v>138</v>
      </c>
      <c r="H285" s="11" t="s">
        <v>107</v>
      </c>
      <c r="I285" s="11">
        <v>79</v>
      </c>
      <c r="J285" s="12">
        <f t="shared" si="24"/>
        <v>3.98</v>
      </c>
      <c r="K285" s="12">
        <f t="shared" si="25"/>
        <v>1</v>
      </c>
      <c r="L285" s="12">
        <f t="shared" si="26"/>
        <v>1.59</v>
      </c>
      <c r="M285" s="13">
        <f t="shared" si="27"/>
        <v>0.60578386605783863</v>
      </c>
      <c r="N285" s="14">
        <f t="shared" si="28"/>
        <v>93.792960426179604</v>
      </c>
    </row>
    <row r="286" spans="1:14" x14ac:dyDescent="0.25">
      <c r="A286" s="11"/>
      <c r="B286" s="10">
        <v>1805</v>
      </c>
      <c r="C286" s="10" t="s">
        <v>135</v>
      </c>
      <c r="D286" s="11" t="s">
        <v>19</v>
      </c>
      <c r="E286" s="10" t="s">
        <v>136</v>
      </c>
      <c r="F286" s="11" t="s">
        <v>106</v>
      </c>
      <c r="G286" s="10" t="s">
        <v>139</v>
      </c>
      <c r="H286" s="11" t="s">
        <v>105</v>
      </c>
      <c r="I286" s="11">
        <v>72</v>
      </c>
      <c r="J286" s="12">
        <f t="shared" si="24"/>
        <v>3.98</v>
      </c>
      <c r="K286" s="12">
        <f t="shared" si="25"/>
        <v>6.31</v>
      </c>
      <c r="L286" s="12">
        <f t="shared" si="26"/>
        <v>1</v>
      </c>
      <c r="M286" s="13">
        <f t="shared" si="27"/>
        <v>0.35252435783879543</v>
      </c>
      <c r="N286" s="14">
        <f t="shared" si="28"/>
        <v>94.143666961913198</v>
      </c>
    </row>
    <row r="287" spans="1:14" x14ac:dyDescent="0.25">
      <c r="A287" s="11"/>
      <c r="B287" s="10">
        <v>1808</v>
      </c>
      <c r="C287" s="10" t="s">
        <v>135</v>
      </c>
      <c r="D287" s="11" t="s">
        <v>19</v>
      </c>
      <c r="E287" s="10" t="s">
        <v>137</v>
      </c>
      <c r="F287" s="11" t="s">
        <v>104</v>
      </c>
      <c r="G287" s="10" t="s">
        <v>136</v>
      </c>
      <c r="H287" s="11" t="s">
        <v>106</v>
      </c>
      <c r="I287" s="11">
        <v>73</v>
      </c>
      <c r="J287" s="12">
        <f t="shared" si="24"/>
        <v>3.98</v>
      </c>
      <c r="K287" s="12">
        <f t="shared" si="25"/>
        <v>2.5099999999999998</v>
      </c>
      <c r="L287" s="12">
        <f t="shared" si="26"/>
        <v>6.31</v>
      </c>
      <c r="M287" s="13">
        <f t="shared" si="27"/>
        <v>0.31093749999999998</v>
      </c>
      <c r="N287" s="14">
        <f t="shared" si="28"/>
        <v>96.893242187499993</v>
      </c>
    </row>
    <row r="288" spans="1:14" x14ac:dyDescent="0.25">
      <c r="A288" s="11"/>
      <c r="B288" s="10">
        <v>1906</v>
      </c>
      <c r="C288" s="10" t="s">
        <v>135</v>
      </c>
      <c r="D288" s="11" t="s">
        <v>19</v>
      </c>
      <c r="E288" s="10" t="s">
        <v>136</v>
      </c>
      <c r="F288" s="11" t="s">
        <v>106</v>
      </c>
      <c r="G288" s="10" t="s">
        <v>138</v>
      </c>
      <c r="H288" s="11" t="s">
        <v>108</v>
      </c>
      <c r="I288" s="11">
        <v>71</v>
      </c>
      <c r="J288" s="12">
        <f t="shared" si="24"/>
        <v>3.98</v>
      </c>
      <c r="K288" s="12">
        <f t="shared" si="25"/>
        <v>6.31</v>
      </c>
      <c r="L288" s="12">
        <f t="shared" si="26"/>
        <v>1.59</v>
      </c>
      <c r="M288" s="13">
        <f t="shared" si="27"/>
        <v>0.33501683501683505</v>
      </c>
      <c r="N288" s="14">
        <f t="shared" si="28"/>
        <v>93.426557239057246</v>
      </c>
    </row>
    <row r="289" spans="1:14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9" t="s">
        <v>17</v>
      </c>
      <c r="N289" s="15">
        <f>IF(ISNUMBER(M288),AVERAGE(N282:N288),"")</f>
        <v>95.161807238382522</v>
      </c>
    </row>
    <row r="290" spans="1:14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9" t="s">
        <v>18</v>
      </c>
      <c r="N290" s="15">
        <f>IF(ISNUMBER(N289),(N289-69.8)*(113/118),"")</f>
        <v>24.287154389298522</v>
      </c>
    </row>
    <row r="292" spans="1:14" x14ac:dyDescent="0.25">
      <c r="A292" s="2" t="s">
        <v>106</v>
      </c>
      <c r="B292" s="4">
        <v>1805</v>
      </c>
      <c r="C292" s="4"/>
      <c r="D292" s="2" t="s">
        <v>106</v>
      </c>
      <c r="E292" s="4"/>
      <c r="F292" s="2" t="s">
        <v>19</v>
      </c>
      <c r="G292" s="4"/>
      <c r="H292" s="2" t="s">
        <v>105</v>
      </c>
      <c r="I292" s="2">
        <v>72</v>
      </c>
      <c r="J292" s="5" t="str">
        <f>IF(C292="A+",10,IF(C292="A",6.31,IF(C292="B",3.98,IF(C292="C",2.51,IF(C292="D",1.59,IF(C292="D-",1,""))))))</f>
        <v/>
      </c>
      <c r="K292" s="5" t="str">
        <f>IF(E292="A+",10,IF(E292="A",6.31,IF(E292="B",3.98,IF(E292="C",2.51,IF(E292="D",1.59,IF(E292="D-",1,""))))))</f>
        <v/>
      </c>
      <c r="L292" s="5" t="str">
        <f>IF(G292="A+",10,IF(G292="A",6.31,IF(G292="B",3.98,IF(G292="C",2.51,IF(G292="D",1.59,IF(G292="D-",1,""))))))</f>
        <v/>
      </c>
      <c r="M292" s="6" t="str">
        <f>IF(ISNUMBER(J292),J292/(J292+K292+L292),"")</f>
        <v/>
      </c>
      <c r="N292" s="7" t="str">
        <f>IF(ISNUMBER(M292),I292*(1+(1-M292)*0.475),"")</f>
        <v/>
      </c>
    </row>
    <row r="293" spans="1:14" x14ac:dyDescent="0.25">
      <c r="B293" s="4">
        <v>1808</v>
      </c>
      <c r="C293" s="4"/>
      <c r="D293" s="2" t="s">
        <v>106</v>
      </c>
      <c r="E293" s="4"/>
      <c r="F293" s="2" t="s">
        <v>104</v>
      </c>
      <c r="G293" s="4"/>
      <c r="H293" s="2" t="s">
        <v>19</v>
      </c>
      <c r="I293" s="2">
        <v>73</v>
      </c>
      <c r="J293" s="5" t="str">
        <f>IF(C293="A+",10,IF(C293="A",6.31,IF(C293="B",3.98,IF(C293="C",2.51,IF(C293="D",1.59,IF(C293="D-",1,""))))))</f>
        <v/>
      </c>
      <c r="K293" s="5" t="str">
        <f>IF(E293="A+",10,IF(E293="A",6.31,IF(E293="B",3.98,IF(E293="C",2.51,IF(E293="D",1.59,IF(E293="D-",1,""))))))</f>
        <v/>
      </c>
      <c r="L293" s="5" t="str">
        <f>IF(G293="A+",10,IF(G293="A",6.31,IF(G293="B",3.98,IF(G293="C",2.51,IF(G293="D",1.59,IF(G293="D-",1,""))))))</f>
        <v/>
      </c>
      <c r="M293" s="6" t="str">
        <f>IF(ISNUMBER(J293),J293/(J293+K293+L293),"")</f>
        <v/>
      </c>
      <c r="N293" s="7" t="str">
        <f>IF(ISNUMBER(M293),I293*(1+(1-M293)*0.475),"")</f>
        <v/>
      </c>
    </row>
    <row r="294" spans="1:14" x14ac:dyDescent="0.25">
      <c r="B294" s="4">
        <v>1906</v>
      </c>
      <c r="C294" s="4"/>
      <c r="D294" s="2" t="s">
        <v>106</v>
      </c>
      <c r="E294" s="4"/>
      <c r="F294" s="2" t="s">
        <v>19</v>
      </c>
      <c r="G294" s="4"/>
      <c r="H294" s="2" t="s">
        <v>108</v>
      </c>
      <c r="I294" s="2">
        <v>71</v>
      </c>
      <c r="J294" s="5" t="str">
        <f>IF(C294="A+",10,IF(C294="A",6.31,IF(C294="B",3.98,IF(C294="C",2.51,IF(C294="D",1.59,IF(C294="D-",1,""))))))</f>
        <v/>
      </c>
      <c r="K294" s="5" t="str">
        <f>IF(E294="A+",10,IF(E294="A",6.31,IF(E294="B",3.98,IF(E294="C",2.51,IF(E294="D",1.59,IF(E294="D-",1,""))))))</f>
        <v/>
      </c>
      <c r="L294" s="5" t="str">
        <f>IF(G294="A+",10,IF(G294="A",6.31,IF(G294="B",3.98,IF(G294="C",2.51,IF(G294="D",1.59,IF(G294="D-",1,""))))))</f>
        <v/>
      </c>
      <c r="M294" s="6" t="str">
        <f>IF(ISNUMBER(J294),J294/(J294+K294+L294),"")</f>
        <v/>
      </c>
      <c r="N294" s="7" t="str">
        <f>IF(ISNUMBER(M294),I294*(1+(1-M294)*0.475),"")</f>
        <v/>
      </c>
    </row>
    <row r="295" spans="1:14" x14ac:dyDescent="0.25">
      <c r="M295" s="3" t="s">
        <v>17</v>
      </c>
      <c r="N295" s="8" t="str">
        <f>IF(ISNUMBER(M294),AVERAGE(N292:N294),"")</f>
        <v/>
      </c>
    </row>
    <row r="296" spans="1:14" x14ac:dyDescent="0.25">
      <c r="M296" s="3" t="s">
        <v>18</v>
      </c>
      <c r="N296" s="8" t="str">
        <f>IF(ISNUMBER(N295),(N295-69.8)*(113/118),"")</f>
        <v/>
      </c>
    </row>
    <row r="298" spans="1:14" x14ac:dyDescent="0.25">
      <c r="A298" s="2" t="s">
        <v>108</v>
      </c>
      <c r="B298" s="4">
        <v>1906</v>
      </c>
      <c r="C298" s="4"/>
      <c r="D298" s="2" t="s">
        <v>108</v>
      </c>
      <c r="E298" s="4"/>
      <c r="F298" s="2" t="s">
        <v>19</v>
      </c>
      <c r="G298" s="4"/>
      <c r="H298" s="2" t="s">
        <v>106</v>
      </c>
      <c r="I298" s="2">
        <v>71</v>
      </c>
      <c r="J298" s="5" t="str">
        <f>IF(C298="A+",10,IF(C298="A",6.31,IF(C298="B",3.98,IF(C298="C",2.51,IF(C298="D",1.59,IF(C298="D-",1,""))))))</f>
        <v/>
      </c>
      <c r="K298" s="5" t="str">
        <f>IF(E298="A+",10,IF(E298="A",6.31,IF(E298="B",3.98,IF(E298="C",2.51,IF(E298="D",1.59,IF(E298="D-",1,""))))))</f>
        <v/>
      </c>
      <c r="L298" s="5" t="str">
        <f>IF(G298="A+",10,IF(G298="A",6.31,IF(G298="B",3.98,IF(G298="C",2.51,IF(G298="D",1.59,IF(G298="D-",1,""))))))</f>
        <v/>
      </c>
      <c r="M298" s="6" t="str">
        <f>IF(ISNUMBER(J298),J298/(J298+K298+L298),"")</f>
        <v/>
      </c>
      <c r="N298" s="7" t="str">
        <f>IF(ISNUMBER(M298),I298*(1+(1-M298)*0.475),"")</f>
        <v/>
      </c>
    </row>
    <row r="299" spans="1:14" x14ac:dyDescent="0.25">
      <c r="M299" s="3" t="s">
        <v>17</v>
      </c>
      <c r="N299" s="8" t="str">
        <f>IF(ISNUMBER(M298),AVERAGE(N298:N298),"")</f>
        <v/>
      </c>
    </row>
    <row r="300" spans="1:14" x14ac:dyDescent="0.25">
      <c r="M300" s="3" t="s">
        <v>18</v>
      </c>
      <c r="N300" s="8" t="str">
        <f>IF(ISNUMBER(N299),(N299-69.8)*(113/118),"")</f>
        <v/>
      </c>
    </row>
    <row r="302" spans="1:14" x14ac:dyDescent="0.25">
      <c r="A302" s="2" t="s">
        <v>103</v>
      </c>
      <c r="B302" s="4">
        <v>1705</v>
      </c>
      <c r="C302" s="4"/>
      <c r="D302" s="2" t="s">
        <v>103</v>
      </c>
      <c r="E302" s="4"/>
      <c r="F302" s="2" t="s">
        <v>100</v>
      </c>
      <c r="G302" s="4"/>
      <c r="H302" s="2" t="s">
        <v>55</v>
      </c>
      <c r="I302" s="2">
        <v>71</v>
      </c>
      <c r="J302" s="5" t="str">
        <f>IF(C302="A+",10,IF(C302="A",6.31,IF(C302="B",3.98,IF(C302="C",2.51,IF(C302="D",1.59,IF(C302="D-",1,""))))))</f>
        <v/>
      </c>
      <c r="K302" s="5" t="str">
        <f>IF(E302="A+",10,IF(E302="A",6.31,IF(E302="B",3.98,IF(E302="C",2.51,IF(E302="D",1.59,IF(E302="D-",1,""))))))</f>
        <v/>
      </c>
      <c r="L302" s="5" t="str">
        <f>IF(G302="A+",10,IF(G302="A",6.31,IF(G302="B",3.98,IF(G302="C",2.51,IF(G302="D",1.59,IF(G302="D-",1,""))))))</f>
        <v/>
      </c>
      <c r="M302" s="6" t="str">
        <f>IF(ISNUMBER(J302),J302/(J302+K302+L302),"")</f>
        <v/>
      </c>
      <c r="N302" s="7" t="str">
        <f>IF(ISNUMBER(M302),I302*(1+(1-M302)*0.475),"")</f>
        <v/>
      </c>
    </row>
    <row r="303" spans="1:14" x14ac:dyDescent="0.25">
      <c r="M303" s="3" t="s">
        <v>17</v>
      </c>
      <c r="N303" s="8" t="str">
        <f>IF(ISNUMBER(M302),AVERAGE(N302:N302),"")</f>
        <v/>
      </c>
    </row>
    <row r="304" spans="1:14" x14ac:dyDescent="0.25">
      <c r="M304" s="3" t="s">
        <v>18</v>
      </c>
      <c r="N304" s="8" t="str">
        <f>IF(ISNUMBER(N303),(N303-69.8)*(113/118),"")</f>
        <v/>
      </c>
    </row>
    <row r="306" spans="1:14" x14ac:dyDescent="0.25">
      <c r="A306" s="2" t="s">
        <v>109</v>
      </c>
      <c r="B306" s="4">
        <v>1505</v>
      </c>
      <c r="C306" s="4"/>
      <c r="D306" s="2" t="s">
        <v>109</v>
      </c>
      <c r="E306" s="4"/>
      <c r="F306" s="2" t="s">
        <v>110</v>
      </c>
      <c r="G306" s="4"/>
      <c r="I306" s="2">
        <v>73</v>
      </c>
      <c r="J306" s="5" t="str">
        <f>IF(C306="A+",10,IF(C306="A",6.31,IF(C306="B",3.98,IF(C306="C",2.51,IF(C306="D",1.59,IF(C306="D-",1,""))))))</f>
        <v/>
      </c>
      <c r="K306" s="5" t="str">
        <f>IF(E306="A+",10,IF(E306="A",6.31,IF(E306="B",3.98,IF(E306="C",2.51,IF(E306="D",1.59,IF(E306="D-",1,""))))))</f>
        <v/>
      </c>
      <c r="L306" s="5" t="str">
        <f>IF(G306="A+",10,IF(G306="A",6.31,IF(G306="B",3.98,IF(G306="C",2.51,IF(G306="D",1.59,IF(G306="D-",1,""))))))</f>
        <v/>
      </c>
      <c r="M306" s="6" t="str">
        <f>IF(ISNUMBER(J306),J306/(J306+K306+L306),"")</f>
        <v/>
      </c>
      <c r="N306" s="7" t="str">
        <f>IF(ISNUMBER(M306),I306*(1+(1-M306)*0.475),"")</f>
        <v/>
      </c>
    </row>
    <row r="307" spans="1:14" x14ac:dyDescent="0.25">
      <c r="B307" s="4">
        <v>1808</v>
      </c>
      <c r="C307" s="4"/>
      <c r="D307" s="2" t="s">
        <v>109</v>
      </c>
      <c r="E307" s="4"/>
      <c r="F307" s="2" t="s">
        <v>110</v>
      </c>
      <c r="G307" s="4"/>
      <c r="H307" s="2" t="s">
        <v>80</v>
      </c>
      <c r="I307" s="2">
        <v>77</v>
      </c>
      <c r="J307" s="5" t="str">
        <f>IF(C307="A+",10,IF(C307="A",6.31,IF(C307="B",3.98,IF(C307="C",2.51,IF(C307="D",1.59,IF(C307="D-",1,""))))))</f>
        <v/>
      </c>
      <c r="K307" s="5" t="str">
        <f>IF(E307="A+",10,IF(E307="A",6.31,IF(E307="B",3.98,IF(E307="C",2.51,IF(E307="D",1.59,IF(E307="D-",1,""))))))</f>
        <v/>
      </c>
      <c r="L307" s="5" t="str">
        <f>IF(G307="A+",10,IF(G307="A",6.31,IF(G307="B",3.98,IF(G307="C",2.51,IF(G307="D",1.59,IF(G307="D-",1,""))))))</f>
        <v/>
      </c>
      <c r="M307" s="6" t="str">
        <f>IF(ISNUMBER(J307),J307/(J307+K307+L307),"")</f>
        <v/>
      </c>
      <c r="N307" s="7" t="str">
        <f>IF(ISNUMBER(M307),I307*(1+(1-M307)*0.475),"")</f>
        <v/>
      </c>
    </row>
    <row r="308" spans="1:14" x14ac:dyDescent="0.25">
      <c r="M308" s="3" t="s">
        <v>17</v>
      </c>
      <c r="N308" s="8" t="str">
        <f>IF(ISNUMBER(M307),AVERAGE(N306:N307),"")</f>
        <v/>
      </c>
    </row>
    <row r="309" spans="1:14" x14ac:dyDescent="0.25">
      <c r="M309" s="3" t="s">
        <v>18</v>
      </c>
      <c r="N309" s="8" t="str">
        <f>IF(ISNUMBER(N308),(N308-69.8)*(113/118),"")</f>
        <v/>
      </c>
    </row>
    <row r="311" spans="1:14" x14ac:dyDescent="0.25">
      <c r="A311" s="2" t="s">
        <v>22</v>
      </c>
      <c r="B311" s="4">
        <v>1505</v>
      </c>
      <c r="C311" s="4"/>
      <c r="D311" s="2" t="s">
        <v>22</v>
      </c>
      <c r="E311" s="4"/>
      <c r="F311" s="2" t="s">
        <v>111</v>
      </c>
      <c r="G311" s="4"/>
      <c r="H311" s="2" t="s">
        <v>98</v>
      </c>
      <c r="I311" s="2">
        <v>73</v>
      </c>
      <c r="J311" s="5" t="str">
        <f>IF(C311="A+",10,IF(C311="A",6.31,IF(C311="B",3.98,IF(C311="C",2.51,IF(C311="D",1.59,IF(C311="D-",1,""))))))</f>
        <v/>
      </c>
      <c r="K311" s="5" t="str">
        <f>IF(E311="A+",10,IF(E311="A",6.31,IF(E311="B",3.98,IF(E311="C",2.51,IF(E311="D",1.59,IF(E311="D-",1,""))))))</f>
        <v/>
      </c>
      <c r="L311" s="5" t="str">
        <f>IF(G311="A+",10,IF(G311="A",6.31,IF(G311="B",3.98,IF(G311="C",2.51,IF(G311="D",1.59,IF(G311="D-",1,""))))))</f>
        <v/>
      </c>
      <c r="M311" s="6" t="str">
        <f>IF(ISNUMBER(J311),J311/(J311+K311+L311),"")</f>
        <v/>
      </c>
      <c r="N311" s="7" t="str">
        <f>IF(ISNUMBER(M311),I311*(1+(1-M311)*0.475),"")</f>
        <v/>
      </c>
    </row>
    <row r="312" spans="1:14" x14ac:dyDescent="0.25">
      <c r="B312" s="4">
        <v>1508</v>
      </c>
      <c r="C312" s="4"/>
      <c r="D312" s="2" t="s">
        <v>22</v>
      </c>
      <c r="E312" s="4"/>
      <c r="F312" s="2" t="s">
        <v>47</v>
      </c>
      <c r="G312" s="4"/>
      <c r="H312" s="2" t="s">
        <v>98</v>
      </c>
      <c r="I312" s="2">
        <v>86</v>
      </c>
      <c r="J312" s="5" t="str">
        <f>IF(C312="A+",10,IF(C312="A",6.31,IF(C312="B",3.98,IF(C312="C",2.51,IF(C312="D",1.59,IF(C312="D-",1,""))))))</f>
        <v/>
      </c>
      <c r="K312" s="5" t="str">
        <f>IF(E312="A+",10,IF(E312="A",6.31,IF(E312="B",3.98,IF(E312="C",2.51,IF(E312="D",1.59,IF(E312="D-",1,""))))))</f>
        <v/>
      </c>
      <c r="L312" s="5" t="str">
        <f>IF(G312="A+",10,IF(G312="A",6.31,IF(G312="B",3.98,IF(G312="C",2.51,IF(G312="D",1.59,IF(G312="D-",1,""))))))</f>
        <v/>
      </c>
      <c r="M312" s="6" t="str">
        <f>IF(ISNUMBER(J312),J312/(J312+K312+L312),"")</f>
        <v/>
      </c>
      <c r="N312" s="7" t="str">
        <f>IF(ISNUMBER(M312),I312*(1+(1-M312)*0.475),"")</f>
        <v/>
      </c>
    </row>
    <row r="313" spans="1:14" x14ac:dyDescent="0.25">
      <c r="B313" s="4">
        <v>1608</v>
      </c>
      <c r="C313" s="4"/>
      <c r="D313" s="2" t="s">
        <v>22</v>
      </c>
      <c r="E313" s="4"/>
      <c r="F313" s="2" t="s">
        <v>15</v>
      </c>
      <c r="G313" s="4"/>
      <c r="H313" s="2" t="s">
        <v>16</v>
      </c>
      <c r="I313" s="2">
        <v>77</v>
      </c>
      <c r="J313" s="5" t="str">
        <f>IF(C313="A+",10,IF(C313="A",6.31,IF(C313="B",3.98,IF(C313="C",2.51,IF(C313="D",1.59,IF(C313="D-",1,""))))))</f>
        <v/>
      </c>
      <c r="K313" s="5" t="str">
        <f>IF(E313="A+",10,IF(E313="A",6.31,IF(E313="B",3.98,IF(E313="C",2.51,IF(E313="D",1.59,IF(E313="D-",1,""))))))</f>
        <v/>
      </c>
      <c r="L313" s="5" t="str">
        <f>IF(G313="A+",10,IF(G313="A",6.31,IF(G313="B",3.98,IF(G313="C",2.51,IF(G313="D",1.59,IF(G313="D-",1,""))))))</f>
        <v/>
      </c>
      <c r="M313" s="6" t="str">
        <f>IF(ISNUMBER(J313),J313/(J313+K313+L313),"")</f>
        <v/>
      </c>
      <c r="N313" s="7" t="str">
        <f>IF(ISNUMBER(M313),I313*(1+(1-M313)*0.475),"")</f>
        <v/>
      </c>
    </row>
    <row r="314" spans="1:14" x14ac:dyDescent="0.25">
      <c r="B314" s="4">
        <v>1705</v>
      </c>
      <c r="C314" s="4"/>
      <c r="D314" s="2" t="s">
        <v>22</v>
      </c>
      <c r="E314" s="4"/>
      <c r="F314" s="2" t="s">
        <v>15</v>
      </c>
      <c r="G314" s="4"/>
      <c r="H314" s="2" t="s">
        <v>16</v>
      </c>
      <c r="I314" s="2">
        <v>72</v>
      </c>
      <c r="J314" s="5" t="str">
        <f>IF(C314="A+",10,IF(C314="A",6.31,IF(C314="B",3.98,IF(C314="C",2.51,IF(C314="D",1.59,IF(C314="D-",1,""))))))</f>
        <v/>
      </c>
      <c r="K314" s="5" t="str">
        <f>IF(E314="A+",10,IF(E314="A",6.31,IF(E314="B",3.98,IF(E314="C",2.51,IF(E314="D",1.59,IF(E314="D-",1,""))))))</f>
        <v/>
      </c>
      <c r="L314" s="5" t="str">
        <f>IF(G314="A+",10,IF(G314="A",6.31,IF(G314="B",3.98,IF(G314="C",2.51,IF(G314="D",1.59,IF(G314="D-",1,""))))))</f>
        <v/>
      </c>
      <c r="M314" s="6" t="str">
        <f>IF(ISNUMBER(J314),J314/(J314+K314+L314),"")</f>
        <v/>
      </c>
      <c r="N314" s="7" t="str">
        <f>IF(ISNUMBER(M314),I314*(1+(1-M314)*0.475),"")</f>
        <v/>
      </c>
    </row>
    <row r="315" spans="1:14" x14ac:dyDescent="0.25">
      <c r="B315" s="4">
        <v>1906</v>
      </c>
      <c r="C315" s="4"/>
      <c r="D315" s="2" t="s">
        <v>22</v>
      </c>
      <c r="E315" s="4"/>
      <c r="F315" s="2" t="s">
        <v>112</v>
      </c>
      <c r="G315" s="4"/>
      <c r="H315" s="2" t="s">
        <v>20</v>
      </c>
      <c r="I315" s="2">
        <v>80</v>
      </c>
      <c r="J315" s="5" t="str">
        <f>IF(C315="A+",10,IF(C315="A",6.31,IF(C315="B",3.98,IF(C315="C",2.51,IF(C315="D",1.59,IF(C315="D-",1,""))))))</f>
        <v/>
      </c>
      <c r="K315" s="5" t="str">
        <f>IF(E315="A+",10,IF(E315="A",6.31,IF(E315="B",3.98,IF(E315="C",2.51,IF(E315="D",1.59,IF(E315="D-",1,""))))))</f>
        <v/>
      </c>
      <c r="L315" s="5" t="str">
        <f>IF(G315="A+",10,IF(G315="A",6.31,IF(G315="B",3.98,IF(G315="C",2.51,IF(G315="D",1.59,IF(G315="D-",1,""))))))</f>
        <v/>
      </c>
      <c r="M315" s="6" t="str">
        <f>IF(ISNUMBER(J315),J315/(J315+K315+L315),"")</f>
        <v/>
      </c>
      <c r="N315" s="7" t="str">
        <f>IF(ISNUMBER(M315),I315*(1+(1-M315)*0.475),"")</f>
        <v/>
      </c>
    </row>
    <row r="316" spans="1:14" x14ac:dyDescent="0.25">
      <c r="M316" s="3" t="s">
        <v>17</v>
      </c>
      <c r="N316" s="8" t="str">
        <f>IF(ISNUMBER(M315),AVERAGE(N311:N315),"")</f>
        <v/>
      </c>
    </row>
    <row r="317" spans="1:14" x14ac:dyDescent="0.25">
      <c r="M317" s="3" t="s">
        <v>18</v>
      </c>
      <c r="N317" s="8" t="str">
        <f>IF(ISNUMBER(N316),(N316-69.8)*(113/118),"")</f>
        <v/>
      </c>
    </row>
    <row r="319" spans="1:14" x14ac:dyDescent="0.25">
      <c r="A319" s="2" t="s">
        <v>111</v>
      </c>
      <c r="B319" s="4">
        <v>1505</v>
      </c>
      <c r="C319" s="4"/>
      <c r="D319" s="2" t="s">
        <v>111</v>
      </c>
      <c r="E319" s="4"/>
      <c r="F319" s="2" t="s">
        <v>22</v>
      </c>
      <c r="G319" s="4"/>
      <c r="H319" s="2" t="s">
        <v>98</v>
      </c>
      <c r="I319" s="2">
        <v>73</v>
      </c>
      <c r="J319" s="5" t="str">
        <f>IF(C319="A+",10,IF(C319="A",6.31,IF(C319="B",3.98,IF(C319="C",2.51,IF(C319="D",1.59,IF(C319="D-",1,""))))))</f>
        <v/>
      </c>
      <c r="K319" s="5" t="str">
        <f>IF(E319="A+",10,IF(E319="A",6.31,IF(E319="B",3.98,IF(E319="C",2.51,IF(E319="D",1.59,IF(E319="D-",1,""))))))</f>
        <v/>
      </c>
      <c r="L319" s="5" t="str">
        <f>IF(G319="A+",10,IF(G319="A",6.31,IF(G319="B",3.98,IF(G319="C",2.51,IF(G319="D",1.59,IF(G319="D-",1,""))))))</f>
        <v/>
      </c>
      <c r="M319" s="6" t="str">
        <f>IF(ISNUMBER(J319),J319/(J319+K319+L319),"")</f>
        <v/>
      </c>
      <c r="N319" s="7" t="str">
        <f>IF(ISNUMBER(M319),I319*(1+(1-M319)*0.475),"")</f>
        <v/>
      </c>
    </row>
    <row r="320" spans="1:14" x14ac:dyDescent="0.25">
      <c r="M320" s="3" t="s">
        <v>17</v>
      </c>
      <c r="N320" s="8" t="str">
        <f>IF(ISNUMBER(M319),AVERAGE(N319:N319),"")</f>
        <v/>
      </c>
    </row>
    <row r="321" spans="1:14" x14ac:dyDescent="0.25">
      <c r="M321" s="3" t="s">
        <v>18</v>
      </c>
      <c r="N321" s="8" t="str">
        <f>IF(ISNUMBER(N320),(N320-69.8)*(113/118),"")</f>
        <v/>
      </c>
    </row>
    <row r="323" spans="1:14" x14ac:dyDescent="0.25">
      <c r="A323" s="11" t="s">
        <v>70</v>
      </c>
      <c r="B323" s="10">
        <v>1505</v>
      </c>
      <c r="C323" s="10" t="s">
        <v>135</v>
      </c>
      <c r="D323" s="11" t="s">
        <v>70</v>
      </c>
      <c r="E323" s="10" t="s">
        <v>137</v>
      </c>
      <c r="F323" s="11" t="s">
        <v>113</v>
      </c>
      <c r="G323" s="10" t="s">
        <v>137</v>
      </c>
      <c r="H323" s="11" t="s">
        <v>114</v>
      </c>
      <c r="I323" s="11">
        <v>74</v>
      </c>
      <c r="J323" s="12">
        <f t="shared" ref="J323:J328" si="29">IF(C323="A+",10,IF(C323="A",6.31,IF(C323="B",3.98,IF(C323="C",2.51,IF(C323="D",1.59,IF(C323="D-",1,""))))))</f>
        <v>3.98</v>
      </c>
      <c r="K323" s="12">
        <f t="shared" ref="K323:K328" si="30">IF(E323="A+",10,IF(E323="A",6.31,IF(E323="B",3.98,IF(E323="C",2.51,IF(E323="D",1.59,IF(E323="D-",1,""))))))</f>
        <v>2.5099999999999998</v>
      </c>
      <c r="L323" s="12">
        <f t="shared" ref="L323:L328" si="31">IF(G323="A+",10,IF(G323="A",6.31,IF(G323="B",3.98,IF(G323="C",2.51,IF(G323="D",1.59,IF(G323="D-",1,""))))))</f>
        <v>2.5099999999999998</v>
      </c>
      <c r="M323" s="13">
        <f t="shared" ref="M323:M328" si="32">IF(ISNUMBER(J323),J323/(J323+K323+L323),"")</f>
        <v>0.44222222222222224</v>
      </c>
      <c r="N323" s="14">
        <f t="shared" ref="N323:N328" si="33">IF(ISNUMBER(M323),I323*(1+(1-M323)*0.475),"")</f>
        <v>93.605888888888884</v>
      </c>
    </row>
    <row r="324" spans="1:14" x14ac:dyDescent="0.25">
      <c r="A324" s="11"/>
      <c r="B324" s="10">
        <v>1508</v>
      </c>
      <c r="C324" s="10" t="s">
        <v>135</v>
      </c>
      <c r="D324" s="11" t="s">
        <v>70</v>
      </c>
      <c r="E324" s="10" t="s">
        <v>137</v>
      </c>
      <c r="F324" s="11" t="s">
        <v>113</v>
      </c>
      <c r="G324" s="10" t="s">
        <v>137</v>
      </c>
      <c r="H324" s="11" t="s">
        <v>114</v>
      </c>
      <c r="I324" s="11">
        <v>68</v>
      </c>
      <c r="J324" s="12">
        <f t="shared" si="29"/>
        <v>3.98</v>
      </c>
      <c r="K324" s="12">
        <f t="shared" si="30"/>
        <v>2.5099999999999998</v>
      </c>
      <c r="L324" s="12">
        <f t="shared" si="31"/>
        <v>2.5099999999999998</v>
      </c>
      <c r="M324" s="13">
        <f t="shared" si="32"/>
        <v>0.44222222222222224</v>
      </c>
      <c r="N324" s="14">
        <f t="shared" si="33"/>
        <v>86.016222222222225</v>
      </c>
    </row>
    <row r="325" spans="1:14" x14ac:dyDescent="0.25">
      <c r="A325" s="11"/>
      <c r="B325" s="10">
        <v>1608</v>
      </c>
      <c r="C325" s="10" t="s">
        <v>135</v>
      </c>
      <c r="D325" s="11" t="s">
        <v>70</v>
      </c>
      <c r="E325" s="10" t="s">
        <v>137</v>
      </c>
      <c r="F325" s="11" t="s">
        <v>113</v>
      </c>
      <c r="G325" s="10" t="s">
        <v>137</v>
      </c>
      <c r="H325" s="11" t="s">
        <v>114</v>
      </c>
      <c r="I325" s="11">
        <v>71</v>
      </c>
      <c r="J325" s="12">
        <f t="shared" si="29"/>
        <v>3.98</v>
      </c>
      <c r="K325" s="12">
        <f t="shared" si="30"/>
        <v>2.5099999999999998</v>
      </c>
      <c r="L325" s="12">
        <f t="shared" si="31"/>
        <v>2.5099999999999998</v>
      </c>
      <c r="M325" s="13">
        <f t="shared" si="32"/>
        <v>0.44222222222222224</v>
      </c>
      <c r="N325" s="14">
        <f t="shared" si="33"/>
        <v>89.811055555555555</v>
      </c>
    </row>
    <row r="326" spans="1:14" x14ac:dyDescent="0.25">
      <c r="A326" s="11"/>
      <c r="B326" s="10">
        <v>1705</v>
      </c>
      <c r="C326" s="10" t="s">
        <v>135</v>
      </c>
      <c r="D326" s="11" t="s">
        <v>70</v>
      </c>
      <c r="E326" s="10" t="s">
        <v>137</v>
      </c>
      <c r="F326" s="11" t="s">
        <v>113</v>
      </c>
      <c r="G326" s="10" t="s">
        <v>137</v>
      </c>
      <c r="H326" s="11" t="s">
        <v>114</v>
      </c>
      <c r="I326" s="11">
        <v>75</v>
      </c>
      <c r="J326" s="12">
        <f t="shared" si="29"/>
        <v>3.98</v>
      </c>
      <c r="K326" s="12">
        <f t="shared" si="30"/>
        <v>2.5099999999999998</v>
      </c>
      <c r="L326" s="12">
        <f t="shared" si="31"/>
        <v>2.5099999999999998</v>
      </c>
      <c r="M326" s="13">
        <f t="shared" si="32"/>
        <v>0.44222222222222224</v>
      </c>
      <c r="N326" s="14">
        <f t="shared" si="33"/>
        <v>94.870833333333337</v>
      </c>
    </row>
    <row r="327" spans="1:14" x14ac:dyDescent="0.25">
      <c r="A327" s="11"/>
      <c r="B327" s="10">
        <v>1808</v>
      </c>
      <c r="C327" s="10" t="s">
        <v>135</v>
      </c>
      <c r="D327" s="11" t="s">
        <v>70</v>
      </c>
      <c r="E327" s="10" t="s">
        <v>137</v>
      </c>
      <c r="F327" s="11" t="s">
        <v>113</v>
      </c>
      <c r="G327" s="10" t="s">
        <v>137</v>
      </c>
      <c r="H327" s="11" t="s">
        <v>114</v>
      </c>
      <c r="I327" s="11">
        <v>75</v>
      </c>
      <c r="J327" s="12">
        <f t="shared" si="29"/>
        <v>3.98</v>
      </c>
      <c r="K327" s="12">
        <f t="shared" si="30"/>
        <v>2.5099999999999998</v>
      </c>
      <c r="L327" s="12">
        <f t="shared" si="31"/>
        <v>2.5099999999999998</v>
      </c>
      <c r="M327" s="13">
        <f t="shared" si="32"/>
        <v>0.44222222222222224</v>
      </c>
      <c r="N327" s="14">
        <f t="shared" si="33"/>
        <v>94.870833333333337</v>
      </c>
    </row>
    <row r="328" spans="1:14" x14ac:dyDescent="0.25">
      <c r="A328" s="11"/>
      <c r="B328" s="10">
        <v>1906</v>
      </c>
      <c r="C328" s="10" t="s">
        <v>135</v>
      </c>
      <c r="D328" s="11" t="s">
        <v>70</v>
      </c>
      <c r="E328" s="10" t="s">
        <v>135</v>
      </c>
      <c r="F328" s="11" t="s">
        <v>65</v>
      </c>
      <c r="G328" s="10" t="s">
        <v>135</v>
      </c>
      <c r="H328" s="11" t="s">
        <v>67</v>
      </c>
      <c r="I328" s="11">
        <v>76</v>
      </c>
      <c r="J328" s="12">
        <f t="shared" si="29"/>
        <v>3.98</v>
      </c>
      <c r="K328" s="12">
        <f t="shared" si="30"/>
        <v>3.98</v>
      </c>
      <c r="L328" s="12">
        <f t="shared" si="31"/>
        <v>3.98</v>
      </c>
      <c r="M328" s="13">
        <f t="shared" si="32"/>
        <v>0.33333333333333337</v>
      </c>
      <c r="N328" s="14">
        <f t="shared" si="33"/>
        <v>100.06666666666666</v>
      </c>
    </row>
    <row r="329" spans="1:14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9" t="s">
        <v>17</v>
      </c>
      <c r="N329" s="15">
        <f>IF(ISNUMBER(M328),AVERAGE(N323:N328),"")</f>
        <v>93.206916666666686</v>
      </c>
    </row>
    <row r="330" spans="1:14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9" t="s">
        <v>18</v>
      </c>
      <c r="N330" s="15">
        <f>IF(ISNUMBER(N329),(N329-69.8)*(113/118),"")</f>
        <v>22.415098163841829</v>
      </c>
    </row>
    <row r="332" spans="1:14" x14ac:dyDescent="0.25">
      <c r="A332" s="11" t="s">
        <v>112</v>
      </c>
      <c r="B332" s="10">
        <v>1906</v>
      </c>
      <c r="C332" s="10" t="s">
        <v>138</v>
      </c>
      <c r="D332" s="11" t="s">
        <v>112</v>
      </c>
      <c r="E332" s="10" t="s">
        <v>137</v>
      </c>
      <c r="F332" s="11" t="s">
        <v>22</v>
      </c>
      <c r="G332" s="10" t="s">
        <v>135</v>
      </c>
      <c r="H332" s="11" t="s">
        <v>20</v>
      </c>
      <c r="I332" s="11">
        <v>80</v>
      </c>
      <c r="J332" s="12">
        <f>IF(C332="A+",10,IF(C332="A",6.31,IF(C332="B",3.98,IF(C332="C",2.51,IF(C332="D",1.59,IF(C332="D-",1,""))))))</f>
        <v>1.59</v>
      </c>
      <c r="K332" s="12">
        <f>IF(E332="A+",10,IF(E332="A",6.31,IF(E332="B",3.98,IF(E332="C",2.51,IF(E332="D",1.59,IF(E332="D-",1,""))))))</f>
        <v>2.5099999999999998</v>
      </c>
      <c r="L332" s="12">
        <f>IF(G332="A+",10,IF(G332="A",6.31,IF(G332="B",3.98,IF(G332="C",2.51,IF(G332="D",1.59,IF(G332="D-",1,""))))))</f>
        <v>3.98</v>
      </c>
      <c r="M332" s="13">
        <f>IF(ISNUMBER(J332),J332/(J332+K332+L332),"")</f>
        <v>0.19678217821782179</v>
      </c>
      <c r="N332" s="14">
        <f>IF(ISNUMBER(M332),I332*(1+(1-M332)*0.475),"")</f>
        <v>110.52227722772275</v>
      </c>
    </row>
    <row r="333" spans="1:14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9" t="s">
        <v>17</v>
      </c>
      <c r="N333" s="15">
        <f>IF(ISNUMBER(M332),AVERAGE(N332:N332),"")</f>
        <v>110.52227722772275</v>
      </c>
    </row>
    <row r="334" spans="1:14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9" t="s">
        <v>18</v>
      </c>
      <c r="N334" s="15">
        <f>IF(ISNUMBER(N333),(N333-69.8)*(113/118),"")</f>
        <v>38.99675700620908</v>
      </c>
    </row>
    <row r="336" spans="1:14" x14ac:dyDescent="0.25">
      <c r="A336" s="11" t="s">
        <v>20</v>
      </c>
      <c r="B336" s="10">
        <v>1505</v>
      </c>
      <c r="C336" s="10" t="s">
        <v>135</v>
      </c>
      <c r="D336" s="11" t="s">
        <v>20</v>
      </c>
      <c r="E336" s="10" t="s">
        <v>135</v>
      </c>
      <c r="F336" s="11" t="s">
        <v>15</v>
      </c>
      <c r="G336" s="10" t="s">
        <v>136</v>
      </c>
      <c r="H336" s="11" t="s">
        <v>19</v>
      </c>
      <c r="I336" s="11">
        <v>71</v>
      </c>
      <c r="J336" s="12">
        <f t="shared" ref="J336:J342" si="34">IF(C336="A+",10,IF(C336="A",6.31,IF(C336="B",3.98,IF(C336="C",2.51,IF(C336="D",1.59,IF(C336="D-",1,""))))))</f>
        <v>3.98</v>
      </c>
      <c r="K336" s="12">
        <f t="shared" ref="K336:K342" si="35">IF(E336="A+",10,IF(E336="A",6.31,IF(E336="B",3.98,IF(E336="C",2.51,IF(E336="D",1.59,IF(E336="D-",1,""))))))</f>
        <v>3.98</v>
      </c>
      <c r="L336" s="12">
        <f t="shared" ref="L336:L342" si="36">IF(G336="A+",10,IF(G336="A",6.31,IF(G336="B",3.98,IF(G336="C",2.51,IF(G336="D",1.59,IF(G336="D-",1,""))))))</f>
        <v>6.31</v>
      </c>
      <c r="M336" s="13">
        <f t="shared" ref="M336:M342" si="37">IF(ISNUMBER(J336),J336/(J336+K336+L336),"")</f>
        <v>0.27890679747722497</v>
      </c>
      <c r="N336" s="14">
        <f t="shared" ref="N336:N342" si="38">IF(ISNUMBER(M336),I336*(1+(1-M336)*0.475),"")</f>
        <v>95.318868255080588</v>
      </c>
    </row>
    <row r="337" spans="1:14" x14ac:dyDescent="0.25">
      <c r="A337" s="11"/>
      <c r="B337" s="10">
        <v>1508</v>
      </c>
      <c r="C337" s="10" t="s">
        <v>135</v>
      </c>
      <c r="D337" s="11" t="s">
        <v>20</v>
      </c>
      <c r="E337" s="10" t="s">
        <v>135</v>
      </c>
      <c r="F337" s="11" t="s">
        <v>15</v>
      </c>
      <c r="G337" s="10" t="s">
        <v>136</v>
      </c>
      <c r="H337" s="11" t="s">
        <v>21</v>
      </c>
      <c r="I337" s="11">
        <v>70</v>
      </c>
      <c r="J337" s="12">
        <f t="shared" si="34"/>
        <v>3.98</v>
      </c>
      <c r="K337" s="12">
        <f t="shared" si="35"/>
        <v>3.98</v>
      </c>
      <c r="L337" s="12">
        <f t="shared" si="36"/>
        <v>6.31</v>
      </c>
      <c r="M337" s="13">
        <f t="shared" si="37"/>
        <v>0.27890679747722497</v>
      </c>
      <c r="N337" s="14">
        <f t="shared" si="38"/>
        <v>93.976348983882261</v>
      </c>
    </row>
    <row r="338" spans="1:14" x14ac:dyDescent="0.25">
      <c r="A338" s="11"/>
      <c r="B338" s="10">
        <v>1608</v>
      </c>
      <c r="C338" s="10" t="s">
        <v>135</v>
      </c>
      <c r="D338" s="11" t="s">
        <v>20</v>
      </c>
      <c r="E338" s="10" t="s">
        <v>136</v>
      </c>
      <c r="F338" s="11" t="s">
        <v>21</v>
      </c>
      <c r="G338" s="10" t="s">
        <v>138</v>
      </c>
      <c r="H338" s="11" t="s">
        <v>51</v>
      </c>
      <c r="I338" s="11">
        <v>72</v>
      </c>
      <c r="J338" s="12">
        <f t="shared" si="34"/>
        <v>3.98</v>
      </c>
      <c r="K338" s="12">
        <f t="shared" si="35"/>
        <v>6.31</v>
      </c>
      <c r="L338" s="12">
        <f t="shared" si="36"/>
        <v>1.59</v>
      </c>
      <c r="M338" s="13">
        <f t="shared" si="37"/>
        <v>0.33501683501683505</v>
      </c>
      <c r="N338" s="14">
        <f t="shared" si="38"/>
        <v>94.742424242424249</v>
      </c>
    </row>
    <row r="339" spans="1:14" x14ac:dyDescent="0.25">
      <c r="A339" s="11"/>
      <c r="B339" s="10">
        <v>1705</v>
      </c>
      <c r="C339" s="10" t="s">
        <v>135</v>
      </c>
      <c r="D339" s="11" t="s">
        <v>20</v>
      </c>
      <c r="E339" s="10" t="s">
        <v>137</v>
      </c>
      <c r="F339" s="11" t="s">
        <v>78</v>
      </c>
      <c r="G339" s="10" t="s">
        <v>137</v>
      </c>
      <c r="H339" s="11" t="s">
        <v>47</v>
      </c>
      <c r="I339" s="11">
        <v>75</v>
      </c>
      <c r="J339" s="12">
        <f t="shared" si="34"/>
        <v>3.98</v>
      </c>
      <c r="K339" s="12">
        <f t="shared" si="35"/>
        <v>2.5099999999999998</v>
      </c>
      <c r="L339" s="12">
        <f t="shared" si="36"/>
        <v>2.5099999999999998</v>
      </c>
      <c r="M339" s="13">
        <f t="shared" si="37"/>
        <v>0.44222222222222224</v>
      </c>
      <c r="N339" s="14">
        <f t="shared" si="38"/>
        <v>94.870833333333337</v>
      </c>
    </row>
    <row r="340" spans="1:14" x14ac:dyDescent="0.25">
      <c r="A340" s="11"/>
      <c r="B340" s="10">
        <v>1805</v>
      </c>
      <c r="C340" s="10" t="s">
        <v>135</v>
      </c>
      <c r="D340" s="11" t="s">
        <v>20</v>
      </c>
      <c r="E340" s="10" t="s">
        <v>135</v>
      </c>
      <c r="F340" s="11" t="s">
        <v>15</v>
      </c>
      <c r="G340" s="10" t="s">
        <v>137</v>
      </c>
      <c r="H340" s="11" t="s">
        <v>16</v>
      </c>
      <c r="I340" s="11">
        <v>65</v>
      </c>
      <c r="J340" s="12">
        <f t="shared" si="34"/>
        <v>3.98</v>
      </c>
      <c r="K340" s="12">
        <f t="shared" si="35"/>
        <v>3.98</v>
      </c>
      <c r="L340" s="12">
        <f t="shared" si="36"/>
        <v>2.5099999999999998</v>
      </c>
      <c r="M340" s="13">
        <f t="shared" si="37"/>
        <v>0.38013371537726842</v>
      </c>
      <c r="N340" s="14">
        <f t="shared" si="38"/>
        <v>84.13837153772684</v>
      </c>
    </row>
    <row r="341" spans="1:14" x14ac:dyDescent="0.25">
      <c r="A341" s="11"/>
      <c r="B341" s="10">
        <v>1808</v>
      </c>
      <c r="C341" s="10" t="s">
        <v>135</v>
      </c>
      <c r="D341" s="11" t="s">
        <v>20</v>
      </c>
      <c r="E341" s="10" t="s">
        <v>135</v>
      </c>
      <c r="F341" s="11" t="s">
        <v>15</v>
      </c>
      <c r="G341" s="10" t="s">
        <v>137</v>
      </c>
      <c r="H341" s="11" t="s">
        <v>16</v>
      </c>
      <c r="I341" s="11">
        <v>68</v>
      </c>
      <c r="J341" s="12">
        <f t="shared" si="34"/>
        <v>3.98</v>
      </c>
      <c r="K341" s="12">
        <f t="shared" si="35"/>
        <v>3.98</v>
      </c>
      <c r="L341" s="12">
        <f t="shared" si="36"/>
        <v>2.5099999999999998</v>
      </c>
      <c r="M341" s="13">
        <f t="shared" si="37"/>
        <v>0.38013371537726842</v>
      </c>
      <c r="N341" s="14">
        <f t="shared" si="38"/>
        <v>88.02168099331422</v>
      </c>
    </row>
    <row r="342" spans="1:14" x14ac:dyDescent="0.25">
      <c r="A342" s="11"/>
      <c r="B342" s="10">
        <v>1906</v>
      </c>
      <c r="C342" s="10" t="s">
        <v>135</v>
      </c>
      <c r="D342" s="11" t="s">
        <v>20</v>
      </c>
      <c r="E342" s="10" t="s">
        <v>137</v>
      </c>
      <c r="F342" s="11" t="s">
        <v>22</v>
      </c>
      <c r="G342" s="10" t="s">
        <v>138</v>
      </c>
      <c r="H342" s="11" t="s">
        <v>112</v>
      </c>
      <c r="I342" s="11">
        <v>80</v>
      </c>
      <c r="J342" s="12">
        <f t="shared" si="34"/>
        <v>3.98</v>
      </c>
      <c r="K342" s="12">
        <f t="shared" si="35"/>
        <v>2.5099999999999998</v>
      </c>
      <c r="L342" s="12">
        <f t="shared" si="36"/>
        <v>1.59</v>
      </c>
      <c r="M342" s="13">
        <f t="shared" si="37"/>
        <v>0.49257425742574257</v>
      </c>
      <c r="N342" s="14">
        <f t="shared" si="38"/>
        <v>99.28217821782178</v>
      </c>
    </row>
    <row r="343" spans="1:14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9" t="s">
        <v>17</v>
      </c>
      <c r="N343" s="15">
        <f>IF(ISNUMBER(M342),AVERAGE(N336:N342),"")</f>
        <v>92.907243651940462</v>
      </c>
    </row>
    <row r="344" spans="1:14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9" t="s">
        <v>18</v>
      </c>
      <c r="N344" s="15">
        <f>IF(ISNUMBER(N343),(N343-69.8)*(113/118),"")</f>
        <v>22.128123158214173</v>
      </c>
    </row>
    <row r="346" spans="1:14" x14ac:dyDescent="0.25">
      <c r="A346" s="2" t="s">
        <v>38</v>
      </c>
      <c r="B346" s="4">
        <v>1808</v>
      </c>
      <c r="C346" s="4"/>
      <c r="D346" s="2" t="s">
        <v>38</v>
      </c>
      <c r="E346" s="4"/>
      <c r="F346" s="2" t="s">
        <v>34</v>
      </c>
      <c r="G346" s="4"/>
      <c r="H346" s="2" t="s">
        <v>35</v>
      </c>
      <c r="I346" s="2">
        <v>74</v>
      </c>
      <c r="J346" s="5" t="str">
        <f>IF(C346="A+",10,IF(C346="A",6.31,IF(C346="B",3.98,IF(C346="C",2.51,IF(C346="D",1.59,IF(C346="D-",1,""))))))</f>
        <v/>
      </c>
      <c r="K346" s="5" t="str">
        <f>IF(E346="A+",10,IF(E346="A",6.31,IF(E346="B",3.98,IF(E346="C",2.51,IF(E346="D",1.59,IF(E346="D-",1,""))))))</f>
        <v/>
      </c>
      <c r="L346" s="5" t="str">
        <f>IF(G346="A+",10,IF(G346="A",6.31,IF(G346="B",3.98,IF(G346="C",2.51,IF(G346="D",1.59,IF(G346="D-",1,""))))))</f>
        <v/>
      </c>
      <c r="M346" s="6" t="str">
        <f>IF(ISNUMBER(J346),J346/(J346+K346+L346),"")</f>
        <v/>
      </c>
      <c r="N346" s="7" t="str">
        <f>IF(ISNUMBER(M346),I346*(1+(1-M346)*0.475),"")</f>
        <v/>
      </c>
    </row>
    <row r="347" spans="1:14" x14ac:dyDescent="0.25">
      <c r="M347" s="3" t="s">
        <v>17</v>
      </c>
      <c r="N347" s="8" t="str">
        <f>IF(ISNUMBER(M346),AVERAGE(N346:N346),"")</f>
        <v/>
      </c>
    </row>
    <row r="348" spans="1:14" x14ac:dyDescent="0.25">
      <c r="M348" s="3" t="s">
        <v>18</v>
      </c>
      <c r="N348" s="8" t="str">
        <f>IF(ISNUMBER(N347),(N347-69.8)*(113/118),"")</f>
        <v/>
      </c>
    </row>
    <row r="350" spans="1:14" x14ac:dyDescent="0.25">
      <c r="A350" s="11" t="s">
        <v>113</v>
      </c>
      <c r="B350" s="10">
        <v>1505</v>
      </c>
      <c r="C350" s="10" t="s">
        <v>137</v>
      </c>
      <c r="D350" s="11" t="s">
        <v>113</v>
      </c>
      <c r="E350" s="10" t="s">
        <v>135</v>
      </c>
      <c r="F350" s="11" t="s">
        <v>70</v>
      </c>
      <c r="G350" s="10" t="s">
        <v>137</v>
      </c>
      <c r="H350" s="11" t="s">
        <v>114</v>
      </c>
      <c r="I350" s="11">
        <v>74</v>
      </c>
      <c r="J350" s="12">
        <f>IF(C350="A+",10,IF(C350="A",6.31,IF(C350="B",3.98,IF(C350="C",2.51,IF(C350="D",1.59,IF(C350="D-",1,""))))))</f>
        <v>2.5099999999999998</v>
      </c>
      <c r="K350" s="12">
        <f>IF(E350="A+",10,IF(E350="A",6.31,IF(E350="B",3.98,IF(E350="C",2.51,IF(E350="D",1.59,IF(E350="D-",1,""))))))</f>
        <v>3.98</v>
      </c>
      <c r="L350" s="12">
        <f>IF(G350="A+",10,IF(G350="A",6.31,IF(G350="B",3.98,IF(G350="C",2.51,IF(G350="D",1.59,IF(G350="D-",1,""))))))</f>
        <v>2.5099999999999998</v>
      </c>
      <c r="M350" s="13">
        <f>IF(ISNUMBER(J350),J350/(J350+K350+L350),"")</f>
        <v>0.27888888888888885</v>
      </c>
      <c r="N350" s="14">
        <f>IF(ISNUMBER(M350),I350*(1+(1-M350)*0.475),"")</f>
        <v>99.347055555555556</v>
      </c>
    </row>
    <row r="351" spans="1:14" x14ac:dyDescent="0.25">
      <c r="A351" s="11"/>
      <c r="B351" s="10">
        <v>1508</v>
      </c>
      <c r="C351" s="10" t="s">
        <v>137</v>
      </c>
      <c r="D351" s="11" t="s">
        <v>113</v>
      </c>
      <c r="E351" s="10" t="s">
        <v>135</v>
      </c>
      <c r="F351" s="11" t="s">
        <v>70</v>
      </c>
      <c r="G351" s="10" t="s">
        <v>137</v>
      </c>
      <c r="H351" s="11" t="s">
        <v>114</v>
      </c>
      <c r="I351" s="11">
        <v>68</v>
      </c>
      <c r="J351" s="12">
        <f>IF(C351="A+",10,IF(C351="A",6.31,IF(C351="B",3.98,IF(C351="C",2.51,IF(C351="D",1.59,IF(C351="D-",1,""))))))</f>
        <v>2.5099999999999998</v>
      </c>
      <c r="K351" s="12">
        <f>IF(E351="A+",10,IF(E351="A",6.31,IF(E351="B",3.98,IF(E351="C",2.51,IF(E351="D",1.59,IF(E351="D-",1,""))))))</f>
        <v>3.98</v>
      </c>
      <c r="L351" s="12">
        <f>IF(G351="A+",10,IF(G351="A",6.31,IF(G351="B",3.98,IF(G351="C",2.51,IF(G351="D",1.59,IF(G351="D-",1,""))))))</f>
        <v>2.5099999999999998</v>
      </c>
      <c r="M351" s="13">
        <f>IF(ISNUMBER(J351),J351/(J351+K351+L351),"")</f>
        <v>0.27888888888888885</v>
      </c>
      <c r="N351" s="14">
        <f>IF(ISNUMBER(M351),I351*(1+(1-M351)*0.475),"")</f>
        <v>91.291888888888892</v>
      </c>
    </row>
    <row r="352" spans="1:14" x14ac:dyDescent="0.25">
      <c r="A352" s="11"/>
      <c r="B352" s="10">
        <v>1608</v>
      </c>
      <c r="C352" s="10" t="s">
        <v>137</v>
      </c>
      <c r="D352" s="11" t="s">
        <v>113</v>
      </c>
      <c r="E352" s="10" t="s">
        <v>135</v>
      </c>
      <c r="F352" s="11" t="s">
        <v>70</v>
      </c>
      <c r="G352" s="10" t="s">
        <v>137</v>
      </c>
      <c r="H352" s="11" t="s">
        <v>114</v>
      </c>
      <c r="I352" s="11">
        <v>71</v>
      </c>
      <c r="J352" s="12">
        <f>IF(C352="A+",10,IF(C352="A",6.31,IF(C352="B",3.98,IF(C352="C",2.51,IF(C352="D",1.59,IF(C352="D-",1,""))))))</f>
        <v>2.5099999999999998</v>
      </c>
      <c r="K352" s="12">
        <f>IF(E352="A+",10,IF(E352="A",6.31,IF(E352="B",3.98,IF(E352="C",2.51,IF(E352="D",1.59,IF(E352="D-",1,""))))))</f>
        <v>3.98</v>
      </c>
      <c r="L352" s="12">
        <f>IF(G352="A+",10,IF(G352="A",6.31,IF(G352="B",3.98,IF(G352="C",2.51,IF(G352="D",1.59,IF(G352="D-",1,""))))))</f>
        <v>2.5099999999999998</v>
      </c>
      <c r="M352" s="13">
        <f>IF(ISNUMBER(J352),J352/(J352+K352+L352),"")</f>
        <v>0.27888888888888885</v>
      </c>
      <c r="N352" s="14">
        <f>IF(ISNUMBER(M352),I352*(1+(1-M352)*0.475),"")</f>
        <v>95.319472222222217</v>
      </c>
    </row>
    <row r="353" spans="1:14" x14ac:dyDescent="0.25">
      <c r="A353" s="11"/>
      <c r="B353" s="10">
        <v>1705</v>
      </c>
      <c r="C353" s="10" t="s">
        <v>137</v>
      </c>
      <c r="D353" s="11" t="s">
        <v>113</v>
      </c>
      <c r="E353" s="10" t="s">
        <v>135</v>
      </c>
      <c r="F353" s="11" t="s">
        <v>70</v>
      </c>
      <c r="G353" s="10" t="s">
        <v>137</v>
      </c>
      <c r="H353" s="11" t="s">
        <v>114</v>
      </c>
      <c r="I353" s="11">
        <v>75</v>
      </c>
      <c r="J353" s="12">
        <f>IF(C353="A+",10,IF(C353="A",6.31,IF(C353="B",3.98,IF(C353="C",2.51,IF(C353="D",1.59,IF(C353="D-",1,""))))))</f>
        <v>2.5099999999999998</v>
      </c>
      <c r="K353" s="12">
        <f>IF(E353="A+",10,IF(E353="A",6.31,IF(E353="B",3.98,IF(E353="C",2.51,IF(E353="D",1.59,IF(E353="D-",1,""))))))</f>
        <v>3.98</v>
      </c>
      <c r="L353" s="12">
        <f>IF(G353="A+",10,IF(G353="A",6.31,IF(G353="B",3.98,IF(G353="C",2.51,IF(G353="D",1.59,IF(G353="D-",1,""))))))</f>
        <v>2.5099999999999998</v>
      </c>
      <c r="M353" s="13">
        <f>IF(ISNUMBER(J353),J353/(J353+K353+L353),"")</f>
        <v>0.27888888888888885</v>
      </c>
      <c r="N353" s="14">
        <f>IF(ISNUMBER(M353),I353*(1+(1-M353)*0.475),"")</f>
        <v>100.68958333333333</v>
      </c>
    </row>
    <row r="354" spans="1:14" x14ac:dyDescent="0.25">
      <c r="A354" s="11"/>
      <c r="B354" s="10">
        <v>1808</v>
      </c>
      <c r="C354" s="10" t="s">
        <v>137</v>
      </c>
      <c r="D354" s="11" t="s">
        <v>113</v>
      </c>
      <c r="E354" s="10" t="s">
        <v>135</v>
      </c>
      <c r="F354" s="11" t="s">
        <v>70</v>
      </c>
      <c r="G354" s="10" t="s">
        <v>137</v>
      </c>
      <c r="H354" s="11" t="s">
        <v>114</v>
      </c>
      <c r="I354" s="11">
        <v>75</v>
      </c>
      <c r="J354" s="12">
        <f>IF(C354="A+",10,IF(C354="A",6.31,IF(C354="B",3.98,IF(C354="C",2.51,IF(C354="D",1.59,IF(C354="D-",1,""))))))</f>
        <v>2.5099999999999998</v>
      </c>
      <c r="K354" s="12">
        <f>IF(E354="A+",10,IF(E354="A",6.31,IF(E354="B",3.98,IF(E354="C",2.51,IF(E354="D",1.59,IF(E354="D-",1,""))))))</f>
        <v>3.98</v>
      </c>
      <c r="L354" s="12">
        <f>IF(G354="A+",10,IF(G354="A",6.31,IF(G354="B",3.98,IF(G354="C",2.51,IF(G354="D",1.59,IF(G354="D-",1,""))))))</f>
        <v>2.5099999999999998</v>
      </c>
      <c r="M354" s="13">
        <f>IF(ISNUMBER(J354),J354/(J354+K354+L354),"")</f>
        <v>0.27888888888888885</v>
      </c>
      <c r="N354" s="14">
        <f>IF(ISNUMBER(M354),I354*(1+(1-M354)*0.475),"")</f>
        <v>100.68958333333333</v>
      </c>
    </row>
    <row r="355" spans="1:14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9" t="s">
        <v>17</v>
      </c>
      <c r="N355" s="15">
        <f>IF(ISNUMBER(M354),AVERAGE(N350:N354),"")</f>
        <v>97.467516666666668</v>
      </c>
    </row>
    <row r="356" spans="1:14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9" t="s">
        <v>18</v>
      </c>
      <c r="N356" s="15">
        <f>IF(ISNUMBER(N355),(N355-69.8)*(113/118),"")</f>
        <v>26.495164265536726</v>
      </c>
    </row>
    <row r="358" spans="1:14" x14ac:dyDescent="0.25">
      <c r="A358" s="2" t="s">
        <v>115</v>
      </c>
      <c r="B358" s="4">
        <v>1508</v>
      </c>
      <c r="C358" s="4"/>
      <c r="D358" s="2" t="s">
        <v>115</v>
      </c>
      <c r="E358" s="4"/>
      <c r="F358" s="2" t="s">
        <v>80</v>
      </c>
      <c r="G358" s="4"/>
      <c r="H358" s="2" t="s">
        <v>81</v>
      </c>
      <c r="I358" s="2">
        <v>80</v>
      </c>
      <c r="J358" s="5" t="str">
        <f>IF(C358="A+",10,IF(C358="A",6.31,IF(C358="B",3.98,IF(C358="C",2.51,IF(C358="D",1.59,IF(C358="D-",1,""))))))</f>
        <v/>
      </c>
      <c r="K358" s="5" t="str">
        <f>IF(E358="A+",10,IF(E358="A",6.31,IF(E358="B",3.98,IF(E358="C",2.51,IF(E358="D",1.59,IF(E358="D-",1,""))))))</f>
        <v/>
      </c>
      <c r="L358" s="5" t="str">
        <f>IF(G358="A+",10,IF(G358="A",6.31,IF(G358="B",3.98,IF(G358="C",2.51,IF(G358="D",1.59,IF(G358="D-",1,""))))))</f>
        <v/>
      </c>
      <c r="M358" s="6" t="str">
        <f>IF(ISNUMBER(J358),J358/(J358+K358+L358),"")</f>
        <v/>
      </c>
      <c r="N358" s="7" t="str">
        <f>IF(ISNUMBER(M358),I358*(1+(1-M358)*0.475),"")</f>
        <v/>
      </c>
    </row>
    <row r="359" spans="1:14" x14ac:dyDescent="0.25">
      <c r="M359" s="3" t="s">
        <v>17</v>
      </c>
      <c r="N359" s="8" t="str">
        <f>IF(ISNUMBER(M358),AVERAGE(N358:N358),"")</f>
        <v/>
      </c>
    </row>
    <row r="360" spans="1:14" x14ac:dyDescent="0.25">
      <c r="M360" s="3" t="s">
        <v>18</v>
      </c>
      <c r="N360" s="8" t="str">
        <f>IF(ISNUMBER(N359),(N359-69.8)*(113/118),"")</f>
        <v/>
      </c>
    </row>
    <row r="362" spans="1:14" x14ac:dyDescent="0.25">
      <c r="A362" s="2" t="s">
        <v>41</v>
      </c>
      <c r="B362" s="4">
        <v>1608</v>
      </c>
      <c r="C362" s="4"/>
      <c r="D362" s="2" t="s">
        <v>41</v>
      </c>
      <c r="E362" s="4"/>
      <c r="F362" s="2" t="s">
        <v>39</v>
      </c>
      <c r="G362" s="4"/>
      <c r="H362" s="2" t="s">
        <v>40</v>
      </c>
      <c r="I362" s="2">
        <v>64</v>
      </c>
      <c r="J362" s="5" t="str">
        <f>IF(C362="A+",10,IF(C362="A",6.31,IF(C362="B",3.98,IF(C362="C",2.51,IF(C362="D",1.59,IF(C362="D-",1,""))))))</f>
        <v/>
      </c>
      <c r="K362" s="5" t="str">
        <f>IF(E362="A+",10,IF(E362="A",6.31,IF(E362="B",3.98,IF(E362="C",2.51,IF(E362="D",1.59,IF(E362="D-",1,""))))))</f>
        <v/>
      </c>
      <c r="L362" s="5" t="str">
        <f>IF(G362="A+",10,IF(G362="A",6.31,IF(G362="B",3.98,IF(G362="C",2.51,IF(G362="D",1.59,IF(G362="D-",1,""))))))</f>
        <v/>
      </c>
      <c r="M362" s="6" t="str">
        <f>IF(ISNUMBER(J362),J362/(J362+K362+L362),"")</f>
        <v/>
      </c>
      <c r="N362" s="7" t="str">
        <f>IF(ISNUMBER(M362),I362*(1+(1-M362)*0.475),"")</f>
        <v/>
      </c>
    </row>
    <row r="363" spans="1:14" x14ac:dyDescent="0.25">
      <c r="M363" s="3" t="s">
        <v>17</v>
      </c>
      <c r="N363" s="8" t="str">
        <f>IF(ISNUMBER(M362),AVERAGE(N362:N362),"")</f>
        <v/>
      </c>
    </row>
    <row r="364" spans="1:14" x14ac:dyDescent="0.25">
      <c r="M364" s="3" t="s">
        <v>18</v>
      </c>
      <c r="N364" s="8" t="str">
        <f>IF(ISNUMBER(N363),(N363-69.8)*(113/118),"")</f>
        <v/>
      </c>
    </row>
    <row r="366" spans="1:14" x14ac:dyDescent="0.25">
      <c r="A366" s="2" t="s">
        <v>110</v>
      </c>
      <c r="B366" s="4">
        <v>1505</v>
      </c>
      <c r="C366" s="4"/>
      <c r="D366" s="2" t="s">
        <v>110</v>
      </c>
      <c r="E366" s="4"/>
      <c r="F366" s="2" t="s">
        <v>109</v>
      </c>
      <c r="G366" s="4"/>
      <c r="I366" s="2">
        <v>73</v>
      </c>
      <c r="J366" s="5" t="str">
        <f>IF(C366="A+",10,IF(C366="A",6.31,IF(C366="B",3.98,IF(C366="C",2.51,IF(C366="D",1.59,IF(C366="D-",1,""))))))</f>
        <v/>
      </c>
      <c r="K366" s="5" t="str">
        <f>IF(E366="A+",10,IF(E366="A",6.31,IF(E366="B",3.98,IF(E366="C",2.51,IF(E366="D",1.59,IF(E366="D-",1,""))))))</f>
        <v/>
      </c>
      <c r="L366" s="5" t="str">
        <f>IF(G366="A+",10,IF(G366="A",6.31,IF(G366="B",3.98,IF(G366="C",2.51,IF(G366="D",1.59,IF(G366="D-",1,""))))))</f>
        <v/>
      </c>
      <c r="M366" s="6" t="str">
        <f>IF(ISNUMBER(J366),J366/(J366+K366+L366),"")</f>
        <v/>
      </c>
      <c r="N366" s="7" t="str">
        <f>IF(ISNUMBER(M366),I366*(1+(1-M366)*0.475),"")</f>
        <v/>
      </c>
    </row>
    <row r="367" spans="1:14" x14ac:dyDescent="0.25">
      <c r="B367" s="4">
        <v>1808</v>
      </c>
      <c r="C367" s="4"/>
      <c r="D367" s="2" t="s">
        <v>110</v>
      </c>
      <c r="E367" s="4"/>
      <c r="F367" s="2" t="s">
        <v>109</v>
      </c>
      <c r="G367" s="4"/>
      <c r="H367" s="2" t="s">
        <v>80</v>
      </c>
      <c r="I367" s="2">
        <v>77</v>
      </c>
      <c r="J367" s="5" t="str">
        <f>IF(C367="A+",10,IF(C367="A",6.31,IF(C367="B",3.98,IF(C367="C",2.51,IF(C367="D",1.59,IF(C367="D-",1,""))))))</f>
        <v/>
      </c>
      <c r="K367" s="5" t="str">
        <f>IF(E367="A+",10,IF(E367="A",6.31,IF(E367="B",3.98,IF(E367="C",2.51,IF(E367="D",1.59,IF(E367="D-",1,""))))))</f>
        <v/>
      </c>
      <c r="L367" s="5" t="str">
        <f>IF(G367="A+",10,IF(G367="A",6.31,IF(G367="B",3.98,IF(G367="C",2.51,IF(G367="D",1.59,IF(G367="D-",1,""))))))</f>
        <v/>
      </c>
      <c r="M367" s="6" t="str">
        <f>IF(ISNUMBER(J367),J367/(J367+K367+L367),"")</f>
        <v/>
      </c>
      <c r="N367" s="7" t="str">
        <f>IF(ISNUMBER(M367),I367*(1+(1-M367)*0.475),"")</f>
        <v/>
      </c>
    </row>
    <row r="368" spans="1:14" x14ac:dyDescent="0.25">
      <c r="M368" s="3" t="s">
        <v>17</v>
      </c>
      <c r="N368" s="8" t="str">
        <f>IF(ISNUMBER(M367),AVERAGE(N366:N367),"")</f>
        <v/>
      </c>
    </row>
    <row r="369" spans="1:14" x14ac:dyDescent="0.25">
      <c r="M369" s="3" t="s">
        <v>18</v>
      </c>
      <c r="N369" s="8" t="str">
        <f>IF(ISNUMBER(N368),(N368-69.8)*(113/118),"")</f>
        <v/>
      </c>
    </row>
    <row r="371" spans="1:14" x14ac:dyDescent="0.25">
      <c r="A371" s="2" t="s">
        <v>63</v>
      </c>
      <c r="B371" s="4">
        <v>1505</v>
      </c>
      <c r="C371" s="4"/>
      <c r="D371" s="2" t="s">
        <v>63</v>
      </c>
      <c r="E371" s="4"/>
      <c r="F371" s="2" t="s">
        <v>30</v>
      </c>
      <c r="G371" s="4"/>
      <c r="H371" s="2" t="s">
        <v>64</v>
      </c>
      <c r="I371" s="2">
        <v>71</v>
      </c>
      <c r="J371" s="5" t="str">
        <f>IF(C371="A+",10,IF(C371="A",6.31,IF(C371="B",3.98,IF(C371="C",2.51,IF(C371="D",1.59,IF(C371="D-",1,""))))))</f>
        <v/>
      </c>
      <c r="K371" s="5" t="str">
        <f>IF(E371="A+",10,IF(E371="A",6.31,IF(E371="B",3.98,IF(E371="C",2.51,IF(E371="D",1.59,IF(E371="D-",1,""))))))</f>
        <v/>
      </c>
      <c r="L371" s="5" t="str">
        <f>IF(G371="A+",10,IF(G371="A",6.31,IF(G371="B",3.98,IF(G371="C",2.51,IF(G371="D",1.59,IF(G371="D-",1,""))))))</f>
        <v/>
      </c>
      <c r="M371" s="6" t="str">
        <f>IF(ISNUMBER(J371),J371/(J371+K371+L371),"")</f>
        <v/>
      </c>
      <c r="N371" s="7" t="str">
        <f>IF(ISNUMBER(M371),I371*(1+(1-M371)*0.475),"")</f>
        <v/>
      </c>
    </row>
    <row r="372" spans="1:14" x14ac:dyDescent="0.25">
      <c r="B372" s="4">
        <v>1608</v>
      </c>
      <c r="C372" s="4"/>
      <c r="D372" s="2" t="s">
        <v>63</v>
      </c>
      <c r="E372" s="4"/>
      <c r="F372" s="2" t="s">
        <v>45</v>
      </c>
      <c r="G372" s="4"/>
      <c r="H372" s="2" t="s">
        <v>64</v>
      </c>
      <c r="I372" s="2">
        <v>70</v>
      </c>
      <c r="J372" s="5" t="str">
        <f>IF(C372="A+",10,IF(C372="A",6.31,IF(C372="B",3.98,IF(C372="C",2.51,IF(C372="D",1.59,IF(C372="D-",1,""))))))</f>
        <v/>
      </c>
      <c r="K372" s="5" t="str">
        <f>IF(E372="A+",10,IF(E372="A",6.31,IF(E372="B",3.98,IF(E372="C",2.51,IF(E372="D",1.59,IF(E372="D-",1,""))))))</f>
        <v/>
      </c>
      <c r="L372" s="5" t="str">
        <f>IF(G372="A+",10,IF(G372="A",6.31,IF(G372="B",3.98,IF(G372="C",2.51,IF(G372="D",1.59,IF(G372="D-",1,""))))))</f>
        <v/>
      </c>
      <c r="M372" s="6" t="str">
        <f>IF(ISNUMBER(J372),J372/(J372+K372+L372),"")</f>
        <v/>
      </c>
      <c r="N372" s="7" t="str">
        <f>IF(ISNUMBER(M372),I372*(1+(1-M372)*0.475),"")</f>
        <v/>
      </c>
    </row>
    <row r="373" spans="1:14" x14ac:dyDescent="0.25">
      <c r="M373" s="3" t="s">
        <v>17</v>
      </c>
      <c r="N373" s="8" t="str">
        <f>IF(ISNUMBER(M372),AVERAGE(N371:N372),"")</f>
        <v/>
      </c>
    </row>
    <row r="374" spans="1:14" x14ac:dyDescent="0.25">
      <c r="M374" s="3" t="s">
        <v>18</v>
      </c>
      <c r="N374" s="8" t="str">
        <f>IF(ISNUMBER(N373),(N373-69.8)*(113/118),"")</f>
        <v/>
      </c>
    </row>
    <row r="376" spans="1:14" x14ac:dyDescent="0.25">
      <c r="A376" s="11" t="s">
        <v>114</v>
      </c>
      <c r="B376" s="10">
        <v>1505</v>
      </c>
      <c r="C376" s="10" t="s">
        <v>137</v>
      </c>
      <c r="D376" s="11" t="s">
        <v>114</v>
      </c>
      <c r="E376" s="10" t="s">
        <v>135</v>
      </c>
      <c r="F376" s="11" t="s">
        <v>70</v>
      </c>
      <c r="G376" s="10" t="s">
        <v>137</v>
      </c>
      <c r="H376" s="11" t="s">
        <v>113</v>
      </c>
      <c r="I376" s="11">
        <v>74</v>
      </c>
      <c r="J376" s="12">
        <f>IF(C376="A+",10,IF(C376="A",6.31,IF(C376="B",3.98,IF(C376="C",2.51,IF(C376="D",1.59,IF(C376="D-",1,""))))))</f>
        <v>2.5099999999999998</v>
      </c>
      <c r="K376" s="12">
        <f>IF(E376="A+",10,IF(E376="A",6.31,IF(E376="B",3.98,IF(E376="C",2.51,IF(E376="D",1.59,IF(E376="D-",1,""))))))</f>
        <v>3.98</v>
      </c>
      <c r="L376" s="12">
        <f>IF(G376="A+",10,IF(G376="A",6.31,IF(G376="B",3.98,IF(G376="C",2.51,IF(G376="D",1.59,IF(G376="D-",1,""))))))</f>
        <v>2.5099999999999998</v>
      </c>
      <c r="M376" s="13">
        <f>IF(ISNUMBER(J376),J376/(J376+K376+L376),"")</f>
        <v>0.27888888888888885</v>
      </c>
      <c r="N376" s="14">
        <f>IF(ISNUMBER(M376),I376*(1+(1-M376)*0.475),"")</f>
        <v>99.347055555555556</v>
      </c>
    </row>
    <row r="377" spans="1:14" x14ac:dyDescent="0.25">
      <c r="A377" s="11"/>
      <c r="B377" s="10">
        <v>1508</v>
      </c>
      <c r="C377" s="10" t="s">
        <v>137</v>
      </c>
      <c r="D377" s="11" t="s">
        <v>114</v>
      </c>
      <c r="E377" s="10" t="s">
        <v>135</v>
      </c>
      <c r="F377" s="11" t="s">
        <v>70</v>
      </c>
      <c r="G377" s="10" t="s">
        <v>137</v>
      </c>
      <c r="H377" s="11" t="s">
        <v>113</v>
      </c>
      <c r="I377" s="11">
        <v>68</v>
      </c>
      <c r="J377" s="12">
        <f>IF(C377="A+",10,IF(C377="A",6.31,IF(C377="B",3.98,IF(C377="C",2.51,IF(C377="D",1.59,IF(C377="D-",1,""))))))</f>
        <v>2.5099999999999998</v>
      </c>
      <c r="K377" s="12">
        <f>IF(E377="A+",10,IF(E377="A",6.31,IF(E377="B",3.98,IF(E377="C",2.51,IF(E377="D",1.59,IF(E377="D-",1,""))))))</f>
        <v>3.98</v>
      </c>
      <c r="L377" s="12">
        <f>IF(G377="A+",10,IF(G377="A",6.31,IF(G377="B",3.98,IF(G377="C",2.51,IF(G377="D",1.59,IF(G377="D-",1,""))))))</f>
        <v>2.5099999999999998</v>
      </c>
      <c r="M377" s="13">
        <f>IF(ISNUMBER(J377),J377/(J377+K377+L377),"")</f>
        <v>0.27888888888888885</v>
      </c>
      <c r="N377" s="14">
        <f>IF(ISNUMBER(M377),I377*(1+(1-M377)*0.475),"")</f>
        <v>91.291888888888892</v>
      </c>
    </row>
    <row r="378" spans="1:14" x14ac:dyDescent="0.25">
      <c r="A378" s="11"/>
      <c r="B378" s="10">
        <v>1608</v>
      </c>
      <c r="C378" s="10" t="s">
        <v>137</v>
      </c>
      <c r="D378" s="11" t="s">
        <v>114</v>
      </c>
      <c r="E378" s="10" t="s">
        <v>135</v>
      </c>
      <c r="F378" s="11" t="s">
        <v>70</v>
      </c>
      <c r="G378" s="10" t="s">
        <v>137</v>
      </c>
      <c r="H378" s="11" t="s">
        <v>113</v>
      </c>
      <c r="I378" s="11">
        <v>71</v>
      </c>
      <c r="J378" s="12">
        <f>IF(C378="A+",10,IF(C378="A",6.31,IF(C378="B",3.98,IF(C378="C",2.51,IF(C378="D",1.59,IF(C378="D-",1,""))))))</f>
        <v>2.5099999999999998</v>
      </c>
      <c r="K378" s="12">
        <f>IF(E378="A+",10,IF(E378="A",6.31,IF(E378="B",3.98,IF(E378="C",2.51,IF(E378="D",1.59,IF(E378="D-",1,""))))))</f>
        <v>3.98</v>
      </c>
      <c r="L378" s="12">
        <f>IF(G378="A+",10,IF(G378="A",6.31,IF(G378="B",3.98,IF(G378="C",2.51,IF(G378="D",1.59,IF(G378="D-",1,""))))))</f>
        <v>2.5099999999999998</v>
      </c>
      <c r="M378" s="13">
        <f>IF(ISNUMBER(J378),J378/(J378+K378+L378),"")</f>
        <v>0.27888888888888885</v>
      </c>
      <c r="N378" s="14">
        <f>IF(ISNUMBER(M378),I378*(1+(1-M378)*0.475),"")</f>
        <v>95.319472222222217</v>
      </c>
    </row>
    <row r="379" spans="1:14" x14ac:dyDescent="0.25">
      <c r="A379" s="11"/>
      <c r="B379" s="10">
        <v>1705</v>
      </c>
      <c r="C379" s="10" t="s">
        <v>137</v>
      </c>
      <c r="D379" s="11" t="s">
        <v>114</v>
      </c>
      <c r="E379" s="10" t="s">
        <v>135</v>
      </c>
      <c r="F379" s="11" t="s">
        <v>70</v>
      </c>
      <c r="G379" s="10" t="s">
        <v>137</v>
      </c>
      <c r="H379" s="11" t="s">
        <v>113</v>
      </c>
      <c r="I379" s="11">
        <v>75</v>
      </c>
      <c r="J379" s="12">
        <f>IF(C379="A+",10,IF(C379="A",6.31,IF(C379="B",3.98,IF(C379="C",2.51,IF(C379="D",1.59,IF(C379="D-",1,""))))))</f>
        <v>2.5099999999999998</v>
      </c>
      <c r="K379" s="12">
        <f>IF(E379="A+",10,IF(E379="A",6.31,IF(E379="B",3.98,IF(E379="C",2.51,IF(E379="D",1.59,IF(E379="D-",1,""))))))</f>
        <v>3.98</v>
      </c>
      <c r="L379" s="12">
        <f>IF(G379="A+",10,IF(G379="A",6.31,IF(G379="B",3.98,IF(G379="C",2.51,IF(G379="D",1.59,IF(G379="D-",1,""))))))</f>
        <v>2.5099999999999998</v>
      </c>
      <c r="M379" s="13">
        <f>IF(ISNUMBER(J379),J379/(J379+K379+L379),"")</f>
        <v>0.27888888888888885</v>
      </c>
      <c r="N379" s="14">
        <f>IF(ISNUMBER(M379),I379*(1+(1-M379)*0.475),"")</f>
        <v>100.68958333333333</v>
      </c>
    </row>
    <row r="380" spans="1:14" x14ac:dyDescent="0.25">
      <c r="A380" s="11"/>
      <c r="B380" s="10">
        <v>1808</v>
      </c>
      <c r="C380" s="10" t="s">
        <v>137</v>
      </c>
      <c r="D380" s="11" t="s">
        <v>114</v>
      </c>
      <c r="E380" s="10" t="s">
        <v>135</v>
      </c>
      <c r="F380" s="11" t="s">
        <v>70</v>
      </c>
      <c r="G380" s="10" t="s">
        <v>137</v>
      </c>
      <c r="H380" s="11" t="s">
        <v>113</v>
      </c>
      <c r="I380" s="11">
        <v>75</v>
      </c>
      <c r="J380" s="12">
        <f>IF(C380="A+",10,IF(C380="A",6.31,IF(C380="B",3.98,IF(C380="C",2.51,IF(C380="D",1.59,IF(C380="D-",1,""))))))</f>
        <v>2.5099999999999998</v>
      </c>
      <c r="K380" s="12">
        <f>IF(E380="A+",10,IF(E380="A",6.31,IF(E380="B",3.98,IF(E380="C",2.51,IF(E380="D",1.59,IF(E380="D-",1,""))))))</f>
        <v>3.98</v>
      </c>
      <c r="L380" s="12">
        <f>IF(G380="A+",10,IF(G380="A",6.31,IF(G380="B",3.98,IF(G380="C",2.51,IF(G380="D",1.59,IF(G380="D-",1,""))))))</f>
        <v>2.5099999999999998</v>
      </c>
      <c r="M380" s="13">
        <f>IF(ISNUMBER(J380),J380/(J380+K380+L380),"")</f>
        <v>0.27888888888888885</v>
      </c>
      <c r="N380" s="14">
        <f>IF(ISNUMBER(M380),I380*(1+(1-M380)*0.475),"")</f>
        <v>100.68958333333333</v>
      </c>
    </row>
    <row r="381" spans="1:14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9" t="s">
        <v>17</v>
      </c>
      <c r="N381" s="15">
        <f>IF(ISNUMBER(M380),AVERAGE(N376:N380),"")</f>
        <v>97.467516666666668</v>
      </c>
    </row>
    <row r="382" spans="1:14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9" t="s">
        <v>18</v>
      </c>
      <c r="N382" s="15">
        <f>IF(ISNUMBER(N381),(N381-69.8)*(113/118),"")</f>
        <v>26.495164265536726</v>
      </c>
    </row>
    <row r="384" spans="1:14" x14ac:dyDescent="0.25">
      <c r="A384" s="11" t="s">
        <v>80</v>
      </c>
      <c r="B384" s="10">
        <v>1505</v>
      </c>
      <c r="C384" s="10" t="s">
        <v>137</v>
      </c>
      <c r="D384" s="11" t="s">
        <v>80</v>
      </c>
      <c r="E384" s="10" t="s">
        <v>137</v>
      </c>
      <c r="F384" s="11" t="s">
        <v>79</v>
      </c>
      <c r="G384" s="10" t="s">
        <v>137</v>
      </c>
      <c r="H384" s="11" t="s">
        <v>81</v>
      </c>
      <c r="I384" s="11">
        <v>81</v>
      </c>
      <c r="J384" s="12">
        <f t="shared" ref="J384:J390" si="39">IF(C384="A+",10,IF(C384="A",6.31,IF(C384="B",3.98,IF(C384="C",2.51,IF(C384="D",1.59,IF(C384="D-",1,""))))))</f>
        <v>2.5099999999999998</v>
      </c>
      <c r="K384" s="12">
        <f t="shared" ref="K384:K390" si="40">IF(E384="A+",10,IF(E384="A",6.31,IF(E384="B",3.98,IF(E384="C",2.51,IF(E384="D",1.59,IF(E384="D-",1,""))))))</f>
        <v>2.5099999999999998</v>
      </c>
      <c r="L384" s="12">
        <f t="shared" ref="L384:L390" si="41">IF(G384="A+",10,IF(G384="A",6.31,IF(G384="B",3.98,IF(G384="C",2.51,IF(G384="D",1.59,IF(G384="D-",1,""))))))</f>
        <v>2.5099999999999998</v>
      </c>
      <c r="M384" s="13">
        <f t="shared" ref="M384:M390" si="42">IF(ISNUMBER(J384),J384/(J384+K384+L384),"")</f>
        <v>0.33333333333333331</v>
      </c>
      <c r="N384" s="14">
        <f t="shared" ref="N384:N390" si="43">IF(ISNUMBER(M384),I384*(1+(1-M384)*0.475),"")</f>
        <v>106.65</v>
      </c>
    </row>
    <row r="385" spans="1:14" x14ac:dyDescent="0.25">
      <c r="A385" s="11"/>
      <c r="B385" s="10">
        <v>1508</v>
      </c>
      <c r="C385" s="10" t="s">
        <v>137</v>
      </c>
      <c r="D385" s="11" t="s">
        <v>80</v>
      </c>
      <c r="E385" s="10" t="s">
        <v>139</v>
      </c>
      <c r="F385" s="11" t="s">
        <v>115</v>
      </c>
      <c r="G385" s="10" t="s">
        <v>137</v>
      </c>
      <c r="H385" s="11" t="s">
        <v>81</v>
      </c>
      <c r="I385" s="11">
        <v>80</v>
      </c>
      <c r="J385" s="12">
        <f t="shared" si="39"/>
        <v>2.5099999999999998</v>
      </c>
      <c r="K385" s="12">
        <f t="shared" si="40"/>
        <v>1</v>
      </c>
      <c r="L385" s="12">
        <f t="shared" si="41"/>
        <v>2.5099999999999998</v>
      </c>
      <c r="M385" s="13">
        <f t="shared" si="42"/>
        <v>0.4169435215946844</v>
      </c>
      <c r="N385" s="14">
        <f t="shared" si="43"/>
        <v>102.15614617940199</v>
      </c>
    </row>
    <row r="386" spans="1:14" x14ac:dyDescent="0.25">
      <c r="A386" s="11"/>
      <c r="B386" s="10">
        <v>1608</v>
      </c>
      <c r="C386" s="10" t="s">
        <v>137</v>
      </c>
      <c r="D386" s="11" t="s">
        <v>80</v>
      </c>
      <c r="E386" s="10" t="s">
        <v>137</v>
      </c>
      <c r="F386" s="11" t="s">
        <v>79</v>
      </c>
      <c r="G386" s="10" t="s">
        <v>137</v>
      </c>
      <c r="H386" s="11" t="s">
        <v>81</v>
      </c>
      <c r="I386" s="11">
        <v>84</v>
      </c>
      <c r="J386" s="12">
        <f t="shared" si="39"/>
        <v>2.5099999999999998</v>
      </c>
      <c r="K386" s="12">
        <f t="shared" si="40"/>
        <v>2.5099999999999998</v>
      </c>
      <c r="L386" s="12">
        <f t="shared" si="41"/>
        <v>2.5099999999999998</v>
      </c>
      <c r="M386" s="13">
        <f t="shared" si="42"/>
        <v>0.33333333333333331</v>
      </c>
      <c r="N386" s="14">
        <f t="shared" si="43"/>
        <v>110.6</v>
      </c>
    </row>
    <row r="387" spans="1:14" x14ac:dyDescent="0.25">
      <c r="A387" s="11"/>
      <c r="B387" s="10">
        <v>1705</v>
      </c>
      <c r="C387" s="10" t="s">
        <v>137</v>
      </c>
      <c r="D387" s="11" t="s">
        <v>80</v>
      </c>
      <c r="E387" s="10" t="s">
        <v>137</v>
      </c>
      <c r="F387" s="11" t="s">
        <v>116</v>
      </c>
      <c r="G387" s="10" t="s">
        <v>137</v>
      </c>
      <c r="H387" s="11" t="s">
        <v>81</v>
      </c>
      <c r="I387" s="11">
        <v>80</v>
      </c>
      <c r="J387" s="12">
        <f t="shared" si="39"/>
        <v>2.5099999999999998</v>
      </c>
      <c r="K387" s="12">
        <f t="shared" si="40"/>
        <v>2.5099999999999998</v>
      </c>
      <c r="L387" s="12">
        <f t="shared" si="41"/>
        <v>2.5099999999999998</v>
      </c>
      <c r="M387" s="13">
        <f t="shared" si="42"/>
        <v>0.33333333333333331</v>
      </c>
      <c r="N387" s="14">
        <f t="shared" si="43"/>
        <v>105.33333333333333</v>
      </c>
    </row>
    <row r="388" spans="1:14" x14ac:dyDescent="0.25">
      <c r="A388" s="11"/>
      <c r="B388" s="10">
        <v>1805</v>
      </c>
      <c r="C388" s="10" t="s">
        <v>137</v>
      </c>
      <c r="D388" s="11" t="s">
        <v>80</v>
      </c>
      <c r="E388" s="10" t="s">
        <v>137</v>
      </c>
      <c r="F388" s="11" t="s">
        <v>79</v>
      </c>
      <c r="G388" s="10" t="s">
        <v>137</v>
      </c>
      <c r="H388" s="11" t="s">
        <v>81</v>
      </c>
      <c r="I388" s="11">
        <v>78</v>
      </c>
      <c r="J388" s="12">
        <f t="shared" si="39"/>
        <v>2.5099999999999998</v>
      </c>
      <c r="K388" s="12">
        <f t="shared" si="40"/>
        <v>2.5099999999999998</v>
      </c>
      <c r="L388" s="12">
        <f t="shared" si="41"/>
        <v>2.5099999999999998</v>
      </c>
      <c r="M388" s="13">
        <f t="shared" si="42"/>
        <v>0.33333333333333331</v>
      </c>
      <c r="N388" s="14">
        <f t="shared" si="43"/>
        <v>102.7</v>
      </c>
    </row>
    <row r="389" spans="1:14" x14ac:dyDescent="0.25">
      <c r="A389" s="11"/>
      <c r="B389" s="10">
        <v>1808</v>
      </c>
      <c r="C389" s="10" t="s">
        <v>137</v>
      </c>
      <c r="D389" s="11" t="s">
        <v>80</v>
      </c>
      <c r="E389" s="10" t="s">
        <v>135</v>
      </c>
      <c r="F389" s="11" t="s">
        <v>109</v>
      </c>
      <c r="G389" s="10" t="s">
        <v>137</v>
      </c>
      <c r="H389" s="11" t="s">
        <v>110</v>
      </c>
      <c r="I389" s="11">
        <v>77</v>
      </c>
      <c r="J389" s="12">
        <f t="shared" si="39"/>
        <v>2.5099999999999998</v>
      </c>
      <c r="K389" s="12">
        <f t="shared" si="40"/>
        <v>3.98</v>
      </c>
      <c r="L389" s="12">
        <f t="shared" si="41"/>
        <v>2.5099999999999998</v>
      </c>
      <c r="M389" s="13">
        <f t="shared" si="42"/>
        <v>0.27888888888888885</v>
      </c>
      <c r="N389" s="14">
        <f t="shared" si="43"/>
        <v>103.37463888888888</v>
      </c>
    </row>
    <row r="390" spans="1:14" x14ac:dyDescent="0.25">
      <c r="A390" s="11"/>
      <c r="B390" s="10">
        <v>1906</v>
      </c>
      <c r="C390" s="10" t="s">
        <v>137</v>
      </c>
      <c r="D390" s="11" t="s">
        <v>80</v>
      </c>
      <c r="E390" s="10" t="s">
        <v>136</v>
      </c>
      <c r="F390" s="11" t="s">
        <v>117</v>
      </c>
      <c r="G390" s="10" t="s">
        <v>137</v>
      </c>
      <c r="H390" s="11" t="s">
        <v>81</v>
      </c>
      <c r="I390" s="11">
        <v>72</v>
      </c>
      <c r="J390" s="12">
        <f t="shared" si="39"/>
        <v>2.5099999999999998</v>
      </c>
      <c r="K390" s="12">
        <f t="shared" si="40"/>
        <v>6.31</v>
      </c>
      <c r="L390" s="12">
        <f t="shared" si="41"/>
        <v>2.5099999999999998</v>
      </c>
      <c r="M390" s="13">
        <f t="shared" si="42"/>
        <v>0.22153574580759045</v>
      </c>
      <c r="N390" s="14">
        <f t="shared" si="43"/>
        <v>98.623477493380406</v>
      </c>
    </row>
    <row r="391" spans="1:14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9" t="s">
        <v>17</v>
      </c>
      <c r="N391" s="15">
        <f>IF(ISNUMBER(M390),AVERAGE(N384:N390),"")</f>
        <v>104.20537084214349</v>
      </c>
    </row>
    <row r="392" spans="1:14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9" t="s">
        <v>18</v>
      </c>
      <c r="N392" s="15">
        <f>IF(ISNUMBER(N391),(N391-69.8)*(113/118),"")</f>
        <v>32.947516145442499</v>
      </c>
    </row>
    <row r="394" spans="1:14" x14ac:dyDescent="0.25">
      <c r="A394" s="2" t="s">
        <v>74</v>
      </c>
      <c r="B394" s="4">
        <v>1608</v>
      </c>
      <c r="C394" s="4"/>
      <c r="D394" s="2" t="s">
        <v>74</v>
      </c>
      <c r="E394" s="4"/>
      <c r="F394" s="2" t="s">
        <v>68</v>
      </c>
      <c r="G394" s="4"/>
      <c r="H394" s="2" t="s">
        <v>67</v>
      </c>
      <c r="I394" s="2">
        <v>70</v>
      </c>
      <c r="J394" s="5" t="str">
        <f>IF(C394="A+",10,IF(C394="A",6.31,IF(C394="B",3.98,IF(C394="C",2.51,IF(C394="D",1.59,IF(C394="D-",1,""))))))</f>
        <v/>
      </c>
      <c r="K394" s="5" t="str">
        <f>IF(E394="A+",10,IF(E394="A",6.31,IF(E394="B",3.98,IF(E394="C",2.51,IF(E394="D",1.59,IF(E394="D-",1,""))))))</f>
        <v/>
      </c>
      <c r="L394" s="5" t="str">
        <f>IF(G394="A+",10,IF(G394="A",6.31,IF(G394="B",3.98,IF(G394="C",2.51,IF(G394="D",1.59,IF(G394="D-",1,""))))))</f>
        <v/>
      </c>
      <c r="M394" s="6" t="str">
        <f>IF(ISNUMBER(J394),J394/(J394+K394+L394),"")</f>
        <v/>
      </c>
      <c r="N394" s="7" t="str">
        <f>IF(ISNUMBER(M394),I394*(1+(1-M394)*0.475),"")</f>
        <v/>
      </c>
    </row>
    <row r="395" spans="1:14" x14ac:dyDescent="0.25">
      <c r="M395" s="3" t="s">
        <v>17</v>
      </c>
      <c r="N395" s="8" t="str">
        <f>IF(ISNUMBER(M394),AVERAGE(N394:N394),"")</f>
        <v/>
      </c>
    </row>
    <row r="396" spans="1:14" x14ac:dyDescent="0.25">
      <c r="M396" s="3" t="s">
        <v>18</v>
      </c>
      <c r="N396" s="8" t="str">
        <f>IF(ISNUMBER(N395),(N395-69.8)*(113/118),"")</f>
        <v/>
      </c>
    </row>
    <row r="398" spans="1:14" x14ac:dyDescent="0.25">
      <c r="A398" s="2" t="s">
        <v>117</v>
      </c>
      <c r="B398" s="4">
        <v>1906</v>
      </c>
      <c r="C398" s="4"/>
      <c r="D398" s="2" t="s">
        <v>117</v>
      </c>
      <c r="E398" s="4"/>
      <c r="F398" s="2" t="s">
        <v>80</v>
      </c>
      <c r="G398" s="4"/>
      <c r="H398" s="2" t="s">
        <v>81</v>
      </c>
      <c r="I398" s="2">
        <v>72</v>
      </c>
      <c r="J398" s="5" t="str">
        <f>IF(C398="A+",10,IF(C398="A",6.31,IF(C398="B",3.98,IF(C398="C",2.51,IF(C398="D",1.59,IF(C398="D-",1,""))))))</f>
        <v/>
      </c>
      <c r="K398" s="5" t="str">
        <f>IF(E398="A+",10,IF(E398="A",6.31,IF(E398="B",3.98,IF(E398="C",2.51,IF(E398="D",1.59,IF(E398="D-",1,""))))))</f>
        <v/>
      </c>
      <c r="L398" s="5" t="str">
        <f>IF(G398="A+",10,IF(G398="A",6.31,IF(G398="B",3.98,IF(G398="C",2.51,IF(G398="D",1.59,IF(G398="D-",1,""))))))</f>
        <v/>
      </c>
      <c r="M398" s="6" t="str">
        <f>IF(ISNUMBER(J398),J398/(J398+K398+L398),"")</f>
        <v/>
      </c>
      <c r="N398" s="7" t="str">
        <f>IF(ISNUMBER(M398),I398*(1+(1-M398)*0.475),"")</f>
        <v/>
      </c>
    </row>
    <row r="399" spans="1:14" x14ac:dyDescent="0.25">
      <c r="M399" s="3" t="s">
        <v>17</v>
      </c>
      <c r="N399" s="8" t="str">
        <f>IF(ISNUMBER(M398),AVERAGE(N398:N398),"")</f>
        <v/>
      </c>
    </row>
    <row r="400" spans="1:14" x14ac:dyDescent="0.25">
      <c r="M400" s="3" t="s">
        <v>18</v>
      </c>
      <c r="N400" s="8" t="str">
        <f>IF(ISNUMBER(N399),(N399-69.8)*(113/118),"")</f>
        <v/>
      </c>
    </row>
    <row r="402" spans="1:14" x14ac:dyDescent="0.25">
      <c r="A402" s="2" t="s">
        <v>95</v>
      </c>
      <c r="B402" s="4">
        <v>1805</v>
      </c>
      <c r="C402" s="4"/>
      <c r="D402" s="2" t="s">
        <v>95</v>
      </c>
      <c r="E402" s="4"/>
      <c r="F402" s="2" t="s">
        <v>27</v>
      </c>
      <c r="G402" s="4"/>
      <c r="H402" s="2" t="s">
        <v>77</v>
      </c>
      <c r="I402" s="2">
        <v>74</v>
      </c>
      <c r="J402" s="5" t="str">
        <f>IF(C402="A+",10,IF(C402="A",6.31,IF(C402="B",3.98,IF(C402="C",2.51,IF(C402="D",1.59,IF(C402="D-",1,""))))))</f>
        <v/>
      </c>
      <c r="K402" s="5" t="str">
        <f>IF(E402="A+",10,IF(E402="A",6.31,IF(E402="B",3.98,IF(E402="C",2.51,IF(E402="D",1.59,IF(E402="D-",1,""))))))</f>
        <v/>
      </c>
      <c r="L402" s="5" t="str">
        <f>IF(G402="A+",10,IF(G402="A",6.31,IF(G402="B",3.98,IF(G402="C",2.51,IF(G402="D",1.59,IF(G402="D-",1,""))))))</f>
        <v/>
      </c>
      <c r="M402" s="6" t="str">
        <f>IF(ISNUMBER(J402),J402/(J402+K402+L402),"")</f>
        <v/>
      </c>
      <c r="N402" s="7" t="str">
        <f>IF(ISNUMBER(M402),I402*(1+(1-M402)*0.475),"")</f>
        <v/>
      </c>
    </row>
    <row r="403" spans="1:14" x14ac:dyDescent="0.25">
      <c r="M403" s="3" t="s">
        <v>17</v>
      </c>
      <c r="N403" s="8" t="str">
        <f>IF(ISNUMBER(M402),AVERAGE(N402:N402),"")</f>
        <v/>
      </c>
    </row>
    <row r="404" spans="1:14" x14ac:dyDescent="0.25">
      <c r="M404" s="3" t="s">
        <v>18</v>
      </c>
      <c r="N404" s="8" t="str">
        <f>IF(ISNUMBER(N403),(N403-69.8)*(113/118),"")</f>
        <v/>
      </c>
    </row>
    <row r="406" spans="1:14" x14ac:dyDescent="0.25">
      <c r="A406" s="11" t="s">
        <v>93</v>
      </c>
      <c r="B406" s="10">
        <v>1906</v>
      </c>
      <c r="C406" s="10" t="s">
        <v>135</v>
      </c>
      <c r="D406" s="11" t="s">
        <v>93</v>
      </c>
      <c r="E406" s="10" t="s">
        <v>138</v>
      </c>
      <c r="F406" s="11" t="s">
        <v>86</v>
      </c>
      <c r="G406" s="10" t="s">
        <v>135</v>
      </c>
      <c r="H406" s="11" t="s">
        <v>94</v>
      </c>
      <c r="I406" s="11">
        <v>73</v>
      </c>
      <c r="J406" s="12">
        <f>IF(C406="A+",10,IF(C406="A",6.31,IF(C406="B",3.98,IF(C406="C",2.51,IF(C406="D",1.59,IF(C406="D-",1,""))))))</f>
        <v>3.98</v>
      </c>
      <c r="K406" s="12">
        <f>IF(E406="A+",10,IF(E406="A",6.31,IF(E406="B",3.98,IF(E406="C",2.51,IF(E406="D",1.59,IF(E406="D-",1,""))))))</f>
        <v>1.59</v>
      </c>
      <c r="L406" s="12">
        <f>IF(G406="A+",10,IF(G406="A",6.31,IF(G406="B",3.98,IF(G406="C",2.51,IF(G406="D",1.59,IF(G406="D-",1,""))))))</f>
        <v>3.98</v>
      </c>
      <c r="M406" s="13">
        <f>IF(ISNUMBER(J406),J406/(J406+K406+L406),"")</f>
        <v>0.41675392670157063</v>
      </c>
      <c r="N406" s="14">
        <f>IF(ISNUMBER(M406),I406*(1+(1-M406)*0.475),"")</f>
        <v>93.224057591623037</v>
      </c>
    </row>
    <row r="407" spans="1:14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9" t="s">
        <v>17</v>
      </c>
      <c r="N407" s="15">
        <f>IF(ISNUMBER(M406),AVERAGE(N406:N406),"")</f>
        <v>93.224057591623037</v>
      </c>
    </row>
    <row r="408" spans="1:14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9" t="s">
        <v>18</v>
      </c>
      <c r="N408" s="15">
        <f>IF(ISNUMBER(N407),(N407-69.8)*(113/118),"")</f>
        <v>22.431512778418675</v>
      </c>
    </row>
    <row r="410" spans="1:14" x14ac:dyDescent="0.25">
      <c r="A410" s="2" t="s">
        <v>46</v>
      </c>
      <c r="B410" s="4">
        <v>1505</v>
      </c>
      <c r="C410" s="4"/>
      <c r="D410" s="2" t="s">
        <v>46</v>
      </c>
      <c r="E410" s="4"/>
      <c r="F410" s="2" t="s">
        <v>61</v>
      </c>
      <c r="G410" s="4"/>
      <c r="I410" s="2">
        <v>72</v>
      </c>
      <c r="J410" s="5" t="str">
        <f>IF(C410="A+",10,IF(C410="A",6.31,IF(C410="B",3.98,IF(C410="C",2.51,IF(C410="D",1.59,IF(C410="D-",1,""))))))</f>
        <v/>
      </c>
      <c r="K410" s="5" t="str">
        <f>IF(E410="A+",10,IF(E410="A",6.31,IF(E410="B",3.98,IF(E410="C",2.51,IF(E410="D",1.59,IF(E410="D-",1,""))))))</f>
        <v/>
      </c>
      <c r="L410" s="5" t="str">
        <f>IF(G410="A+",10,IF(G410="A",6.31,IF(G410="B",3.98,IF(G410="C",2.51,IF(G410="D",1.59,IF(G410="D-",1,""))))))</f>
        <v/>
      </c>
      <c r="M410" s="6" t="str">
        <f>IF(ISNUMBER(J410),J410/(J410+K410+L410),"")</f>
        <v/>
      </c>
      <c r="N410" s="7" t="str">
        <f>IF(ISNUMBER(M410),I410*(1+(1-M410)*0.475),"")</f>
        <v/>
      </c>
    </row>
    <row r="411" spans="1:14" x14ac:dyDescent="0.25">
      <c r="B411" s="4">
        <v>1705</v>
      </c>
      <c r="C411" s="4"/>
      <c r="D411" s="2" t="s">
        <v>46</v>
      </c>
      <c r="E411" s="4"/>
      <c r="F411" s="2" t="s">
        <v>42</v>
      </c>
      <c r="G411" s="4"/>
      <c r="H411" s="2" t="s">
        <v>45</v>
      </c>
      <c r="I411" s="2">
        <v>65</v>
      </c>
      <c r="J411" s="5" t="str">
        <f>IF(C411="A+",10,IF(C411="A",6.31,IF(C411="B",3.98,IF(C411="C",2.51,IF(C411="D",1.59,IF(C411="D-",1,""))))))</f>
        <v/>
      </c>
      <c r="K411" s="5" t="str">
        <f>IF(E411="A+",10,IF(E411="A",6.31,IF(E411="B",3.98,IF(E411="C",2.51,IF(E411="D",1.59,IF(E411="D-",1,""))))))</f>
        <v/>
      </c>
      <c r="L411" s="5" t="str">
        <f>IF(G411="A+",10,IF(G411="A",6.31,IF(G411="B",3.98,IF(G411="C",2.51,IF(G411="D",1.59,IF(G411="D-",1,""))))))</f>
        <v/>
      </c>
      <c r="M411" s="6" t="str">
        <f>IF(ISNUMBER(J411),J411/(J411+K411+L411),"")</f>
        <v/>
      </c>
      <c r="N411" s="7" t="str">
        <f>IF(ISNUMBER(M411),I411*(1+(1-M411)*0.475),"")</f>
        <v/>
      </c>
    </row>
    <row r="412" spans="1:14" x14ac:dyDescent="0.25">
      <c r="B412" s="4">
        <v>1906</v>
      </c>
      <c r="C412" s="4"/>
      <c r="D412" s="2" t="s">
        <v>46</v>
      </c>
      <c r="E412" s="4"/>
      <c r="F412" s="2" t="s">
        <v>61</v>
      </c>
      <c r="G412" s="4"/>
      <c r="H412" s="2" t="s">
        <v>45</v>
      </c>
      <c r="I412" s="2">
        <v>71</v>
      </c>
      <c r="J412" s="5" t="str">
        <f>IF(C412="A+",10,IF(C412="A",6.31,IF(C412="B",3.98,IF(C412="C",2.51,IF(C412="D",1.59,IF(C412="D-",1,""))))))</f>
        <v/>
      </c>
      <c r="K412" s="5" t="str">
        <f>IF(E412="A+",10,IF(E412="A",6.31,IF(E412="B",3.98,IF(E412="C",2.51,IF(E412="D",1.59,IF(E412="D-",1,""))))))</f>
        <v/>
      </c>
      <c r="L412" s="5" t="str">
        <f>IF(G412="A+",10,IF(G412="A",6.31,IF(G412="B",3.98,IF(G412="C",2.51,IF(G412="D",1.59,IF(G412="D-",1,""))))))</f>
        <v/>
      </c>
      <c r="M412" s="6" t="str">
        <f>IF(ISNUMBER(J412),J412/(J412+K412+L412),"")</f>
        <v/>
      </c>
      <c r="N412" s="7" t="str">
        <f>IF(ISNUMBER(M412),I412*(1+(1-M412)*0.475),"")</f>
        <v/>
      </c>
    </row>
    <row r="413" spans="1:14" x14ac:dyDescent="0.25">
      <c r="M413" s="3" t="s">
        <v>17</v>
      </c>
      <c r="N413" s="8" t="str">
        <f>IF(ISNUMBER(M412),AVERAGE(N410:N412),"")</f>
        <v/>
      </c>
    </row>
    <row r="414" spans="1:14" x14ac:dyDescent="0.25">
      <c r="M414" s="3" t="s">
        <v>18</v>
      </c>
      <c r="N414" s="8" t="str">
        <f>IF(ISNUMBER(N413),(N413-69.8)*(113/118),"")</f>
        <v/>
      </c>
    </row>
    <row r="416" spans="1:14" x14ac:dyDescent="0.25">
      <c r="A416" s="2" t="s">
        <v>57</v>
      </c>
      <c r="B416" s="4">
        <v>1505</v>
      </c>
      <c r="C416" s="4"/>
      <c r="D416" s="2" t="s">
        <v>57</v>
      </c>
      <c r="E416" s="4"/>
      <c r="F416" s="2" t="s">
        <v>56</v>
      </c>
      <c r="G416" s="4"/>
      <c r="H416" s="2" t="s">
        <v>58</v>
      </c>
      <c r="I416" s="2">
        <v>80</v>
      </c>
      <c r="J416" s="5" t="str">
        <f>IF(C416="A+",10,IF(C416="A",6.31,IF(C416="B",3.98,IF(C416="C",2.51,IF(C416="D",1.59,IF(C416="D-",1,""))))))</f>
        <v/>
      </c>
      <c r="K416" s="5" t="str">
        <f>IF(E416="A+",10,IF(E416="A",6.31,IF(E416="B",3.98,IF(E416="C",2.51,IF(E416="D",1.59,IF(E416="D-",1,""))))))</f>
        <v/>
      </c>
      <c r="L416" s="5" t="str">
        <f>IF(G416="A+",10,IF(G416="A",6.31,IF(G416="B",3.98,IF(G416="C",2.51,IF(G416="D",1.59,IF(G416="D-",1,""))))))</f>
        <v/>
      </c>
      <c r="M416" s="6" t="str">
        <f>IF(ISNUMBER(J416),J416/(J416+K416+L416),"")</f>
        <v/>
      </c>
      <c r="N416" s="7" t="str">
        <f>IF(ISNUMBER(M416),I416*(1+(1-M416)*0.475),"")</f>
        <v/>
      </c>
    </row>
    <row r="417" spans="1:14" x14ac:dyDescent="0.25">
      <c r="B417" s="4">
        <v>1508</v>
      </c>
      <c r="C417" s="4"/>
      <c r="D417" s="2" t="s">
        <v>57</v>
      </c>
      <c r="E417" s="4"/>
      <c r="F417" s="2" t="s">
        <v>56</v>
      </c>
      <c r="G417" s="4"/>
      <c r="H417" s="2" t="s">
        <v>58</v>
      </c>
      <c r="I417" s="2">
        <v>77</v>
      </c>
      <c r="J417" s="5" t="str">
        <f>IF(C417="A+",10,IF(C417="A",6.31,IF(C417="B",3.98,IF(C417="C",2.51,IF(C417="D",1.59,IF(C417="D-",1,""))))))</f>
        <v/>
      </c>
      <c r="K417" s="5" t="str">
        <f>IF(E417="A+",10,IF(E417="A",6.31,IF(E417="B",3.98,IF(E417="C",2.51,IF(E417="D",1.59,IF(E417="D-",1,""))))))</f>
        <v/>
      </c>
      <c r="L417" s="5" t="str">
        <f>IF(G417="A+",10,IF(G417="A",6.31,IF(G417="B",3.98,IF(G417="C",2.51,IF(G417="D",1.59,IF(G417="D-",1,""))))))</f>
        <v/>
      </c>
      <c r="M417" s="6" t="str">
        <f>IF(ISNUMBER(J417),J417/(J417+K417+L417),"")</f>
        <v/>
      </c>
      <c r="N417" s="7" t="str">
        <f>IF(ISNUMBER(M417),I417*(1+(1-M417)*0.475),"")</f>
        <v/>
      </c>
    </row>
    <row r="418" spans="1:14" x14ac:dyDescent="0.25">
      <c r="B418" s="4">
        <v>1705</v>
      </c>
      <c r="C418" s="4"/>
      <c r="D418" s="2" t="s">
        <v>57</v>
      </c>
      <c r="E418" s="4"/>
      <c r="F418" s="2" t="s">
        <v>56</v>
      </c>
      <c r="G418" s="4"/>
      <c r="H418" s="2" t="s">
        <v>58</v>
      </c>
      <c r="I418" s="2">
        <v>85</v>
      </c>
      <c r="J418" s="5" t="str">
        <f>IF(C418="A+",10,IF(C418="A",6.31,IF(C418="B",3.98,IF(C418="C",2.51,IF(C418="D",1.59,IF(C418="D-",1,""))))))</f>
        <v/>
      </c>
      <c r="K418" s="5" t="str">
        <f>IF(E418="A+",10,IF(E418="A",6.31,IF(E418="B",3.98,IF(E418="C",2.51,IF(E418="D",1.59,IF(E418="D-",1,""))))))</f>
        <v/>
      </c>
      <c r="L418" s="5" t="str">
        <f>IF(G418="A+",10,IF(G418="A",6.31,IF(G418="B",3.98,IF(G418="C",2.51,IF(G418="D",1.59,IF(G418="D-",1,""))))))</f>
        <v/>
      </c>
      <c r="M418" s="6" t="str">
        <f>IF(ISNUMBER(J418),J418/(J418+K418+L418),"")</f>
        <v/>
      </c>
      <c r="N418" s="7" t="str">
        <f>IF(ISNUMBER(M418),I418*(1+(1-M418)*0.475),"")</f>
        <v/>
      </c>
    </row>
    <row r="419" spans="1:14" x14ac:dyDescent="0.25">
      <c r="B419" s="4">
        <v>1808</v>
      </c>
      <c r="C419" s="4"/>
      <c r="D419" s="2" t="s">
        <v>57</v>
      </c>
      <c r="E419" s="4"/>
      <c r="F419" s="2" t="s">
        <v>56</v>
      </c>
      <c r="G419" s="4"/>
      <c r="H419" s="2" t="s">
        <v>58</v>
      </c>
      <c r="I419" s="2">
        <v>88</v>
      </c>
      <c r="J419" s="5" t="str">
        <f>IF(C419="A+",10,IF(C419="A",6.31,IF(C419="B",3.98,IF(C419="C",2.51,IF(C419="D",1.59,IF(C419="D-",1,""))))))</f>
        <v/>
      </c>
      <c r="K419" s="5" t="str">
        <f>IF(E419="A+",10,IF(E419="A",6.31,IF(E419="B",3.98,IF(E419="C",2.51,IF(E419="D",1.59,IF(E419="D-",1,""))))))</f>
        <v/>
      </c>
      <c r="L419" s="5" t="str">
        <f>IF(G419="A+",10,IF(G419="A",6.31,IF(G419="B",3.98,IF(G419="C",2.51,IF(G419="D",1.59,IF(G419="D-",1,""))))))</f>
        <v/>
      </c>
      <c r="M419" s="6" t="str">
        <f>IF(ISNUMBER(J419),J419/(J419+K419+L419),"")</f>
        <v/>
      </c>
      <c r="N419" s="7" t="str">
        <f>IF(ISNUMBER(M419),I419*(1+(1-M419)*0.475),"")</f>
        <v/>
      </c>
    </row>
    <row r="420" spans="1:14" x14ac:dyDescent="0.25">
      <c r="M420" s="3" t="s">
        <v>17</v>
      </c>
      <c r="N420" s="8" t="str">
        <f>IF(ISNUMBER(M419),AVERAGE(N416:N419),"")</f>
        <v/>
      </c>
    </row>
    <row r="421" spans="1:14" x14ac:dyDescent="0.25">
      <c r="M421" s="3" t="s">
        <v>18</v>
      </c>
      <c r="N421" s="8" t="str">
        <f>IF(ISNUMBER(N420),(N420-69.8)*(113/118),"")</f>
        <v/>
      </c>
    </row>
    <row r="423" spans="1:14" x14ac:dyDescent="0.25">
      <c r="A423" s="2" t="s">
        <v>60</v>
      </c>
      <c r="B423" s="4">
        <v>1505</v>
      </c>
      <c r="C423" s="4"/>
      <c r="D423" s="2" t="s">
        <v>60</v>
      </c>
      <c r="E423" s="4"/>
      <c r="F423" s="2" t="s">
        <v>118</v>
      </c>
      <c r="G423" s="4"/>
      <c r="H423" s="2" t="s">
        <v>119</v>
      </c>
      <c r="I423" s="2">
        <v>83</v>
      </c>
      <c r="J423" s="5" t="str">
        <f>IF(C423="A+",10,IF(C423="A",6.31,IF(C423="B",3.98,IF(C423="C",2.51,IF(C423="D",1.59,IF(C423="D-",1,""))))))</f>
        <v/>
      </c>
      <c r="K423" s="5" t="str">
        <f>IF(E423="A+",10,IF(E423="A",6.31,IF(E423="B",3.98,IF(E423="C",2.51,IF(E423="D",1.59,IF(E423="D-",1,""))))))</f>
        <v/>
      </c>
      <c r="L423" s="5" t="str">
        <f>IF(G423="A+",10,IF(G423="A",6.31,IF(G423="B",3.98,IF(G423="C",2.51,IF(G423="D",1.59,IF(G423="D-",1,""))))))</f>
        <v/>
      </c>
      <c r="M423" s="6" t="str">
        <f>IF(ISNUMBER(J423),J423/(J423+K423+L423),"")</f>
        <v/>
      </c>
      <c r="N423" s="7" t="str">
        <f>IF(ISNUMBER(M423),I423*(1+(1-M423)*0.475),"")</f>
        <v/>
      </c>
    </row>
    <row r="424" spans="1:14" x14ac:dyDescent="0.25">
      <c r="B424" s="4">
        <v>1508</v>
      </c>
      <c r="C424" s="4"/>
      <c r="D424" s="2" t="s">
        <v>60</v>
      </c>
      <c r="E424" s="4"/>
      <c r="F424" s="2" t="s">
        <v>118</v>
      </c>
      <c r="G424" s="4"/>
      <c r="H424" s="2" t="s">
        <v>120</v>
      </c>
      <c r="I424" s="2">
        <v>75</v>
      </c>
      <c r="J424" s="5" t="str">
        <f>IF(C424="A+",10,IF(C424="A",6.31,IF(C424="B",3.98,IF(C424="C",2.51,IF(C424="D",1.59,IF(C424="D-",1,""))))))</f>
        <v/>
      </c>
      <c r="K424" s="5" t="str">
        <f>IF(E424="A+",10,IF(E424="A",6.31,IF(E424="B",3.98,IF(E424="C",2.51,IF(E424="D",1.59,IF(E424="D-",1,""))))))</f>
        <v/>
      </c>
      <c r="L424" s="5" t="str">
        <f>IF(G424="A+",10,IF(G424="A",6.31,IF(G424="B",3.98,IF(G424="C",2.51,IF(G424="D",1.59,IF(G424="D-",1,""))))))</f>
        <v/>
      </c>
      <c r="M424" s="6" t="str">
        <f>IF(ISNUMBER(J424),J424/(J424+K424+L424),"")</f>
        <v/>
      </c>
      <c r="N424" s="7" t="str">
        <f>IF(ISNUMBER(M424),I424*(1+(1-M424)*0.475),"")</f>
        <v/>
      </c>
    </row>
    <row r="425" spans="1:14" x14ac:dyDescent="0.25">
      <c r="B425" s="4">
        <v>1808</v>
      </c>
      <c r="C425" s="4"/>
      <c r="D425" s="2" t="s">
        <v>60</v>
      </c>
      <c r="E425" s="4"/>
      <c r="G425" s="4"/>
      <c r="H425" s="2" t="s">
        <v>59</v>
      </c>
      <c r="I425" s="2">
        <v>89</v>
      </c>
      <c r="J425" s="5" t="str">
        <f>IF(C425="A+",10,IF(C425="A",6.31,IF(C425="B",3.98,IF(C425="C",2.51,IF(C425="D",1.59,IF(C425="D-",1,""))))))</f>
        <v/>
      </c>
      <c r="K425" s="5" t="str">
        <f>IF(E425="A+",10,IF(E425="A",6.31,IF(E425="B",3.98,IF(E425="C",2.51,IF(E425="D",1.59,IF(E425="D-",1,""))))))</f>
        <v/>
      </c>
      <c r="L425" s="5" t="str">
        <f>IF(G425="A+",10,IF(G425="A",6.31,IF(G425="B",3.98,IF(G425="C",2.51,IF(G425="D",1.59,IF(G425="D-",1,""))))))</f>
        <v/>
      </c>
      <c r="M425" s="6" t="str">
        <f>IF(ISNUMBER(J425),J425/(J425+K425+L425),"")</f>
        <v/>
      </c>
      <c r="N425" s="7" t="str">
        <f>IF(ISNUMBER(M425),I425*(1+(1-M425)*0.475),"")</f>
        <v/>
      </c>
    </row>
    <row r="426" spans="1:14" x14ac:dyDescent="0.25">
      <c r="M426" s="3" t="s">
        <v>17</v>
      </c>
      <c r="N426" s="8" t="str">
        <f>IF(ISNUMBER(M425),AVERAGE(N423:N425),"")</f>
        <v/>
      </c>
    </row>
    <row r="427" spans="1:14" x14ac:dyDescent="0.25">
      <c r="M427" s="3" t="s">
        <v>18</v>
      </c>
      <c r="N427" s="8" t="str">
        <f>IF(ISNUMBER(N426),(N426-69.8)*(113/118),"")</f>
        <v/>
      </c>
    </row>
    <row r="429" spans="1:14" x14ac:dyDescent="0.25">
      <c r="A429" s="2" t="s">
        <v>58</v>
      </c>
      <c r="B429" s="4">
        <v>1505</v>
      </c>
      <c r="C429" s="4"/>
      <c r="D429" s="2" t="s">
        <v>58</v>
      </c>
      <c r="E429" s="4"/>
      <c r="F429" s="2" t="s">
        <v>56</v>
      </c>
      <c r="G429" s="4"/>
      <c r="H429" s="2" t="s">
        <v>57</v>
      </c>
      <c r="I429" s="2">
        <v>80</v>
      </c>
      <c r="J429" s="5" t="str">
        <f>IF(C429="A+",10,IF(C429="A",6.31,IF(C429="B",3.98,IF(C429="C",2.51,IF(C429="D",1.59,IF(C429="D-",1,""))))))</f>
        <v/>
      </c>
      <c r="K429" s="5" t="str">
        <f>IF(E429="A+",10,IF(E429="A",6.31,IF(E429="B",3.98,IF(E429="C",2.51,IF(E429="D",1.59,IF(E429="D-",1,""))))))</f>
        <v/>
      </c>
      <c r="L429" s="5" t="str">
        <f>IF(G429="A+",10,IF(G429="A",6.31,IF(G429="B",3.98,IF(G429="C",2.51,IF(G429="D",1.59,IF(G429="D-",1,""))))))</f>
        <v/>
      </c>
      <c r="M429" s="6" t="str">
        <f>IF(ISNUMBER(J429),J429/(J429+K429+L429),"")</f>
        <v/>
      </c>
      <c r="N429" s="7" t="str">
        <f>IF(ISNUMBER(M429),I429*(1+(1-M429)*0.475),"")</f>
        <v/>
      </c>
    </row>
    <row r="430" spans="1:14" x14ac:dyDescent="0.25">
      <c r="B430" s="4">
        <v>1508</v>
      </c>
      <c r="C430" s="4"/>
      <c r="D430" s="2" t="s">
        <v>58</v>
      </c>
      <c r="E430" s="4"/>
      <c r="F430" s="2" t="s">
        <v>56</v>
      </c>
      <c r="G430" s="4"/>
      <c r="H430" s="2" t="s">
        <v>57</v>
      </c>
      <c r="I430" s="2">
        <v>77</v>
      </c>
      <c r="J430" s="5" t="str">
        <f>IF(C430="A+",10,IF(C430="A",6.31,IF(C430="B",3.98,IF(C430="C",2.51,IF(C430="D",1.59,IF(C430="D-",1,""))))))</f>
        <v/>
      </c>
      <c r="K430" s="5" t="str">
        <f>IF(E430="A+",10,IF(E430="A",6.31,IF(E430="B",3.98,IF(E430="C",2.51,IF(E430="D",1.59,IF(E430="D-",1,""))))))</f>
        <v/>
      </c>
      <c r="L430" s="5" t="str">
        <f>IF(G430="A+",10,IF(G430="A",6.31,IF(G430="B",3.98,IF(G430="C",2.51,IF(G430="D",1.59,IF(G430="D-",1,""))))))</f>
        <v/>
      </c>
      <c r="M430" s="6" t="str">
        <f>IF(ISNUMBER(J430),J430/(J430+K430+L430),"")</f>
        <v/>
      </c>
      <c r="N430" s="7" t="str">
        <f>IF(ISNUMBER(M430),I430*(1+(1-M430)*0.475),"")</f>
        <v/>
      </c>
    </row>
    <row r="431" spans="1:14" x14ac:dyDescent="0.25">
      <c r="B431" s="4">
        <v>1705</v>
      </c>
      <c r="C431" s="4"/>
      <c r="D431" s="2" t="s">
        <v>58</v>
      </c>
      <c r="E431" s="4"/>
      <c r="F431" s="2" t="s">
        <v>56</v>
      </c>
      <c r="G431" s="4"/>
      <c r="H431" s="2" t="s">
        <v>57</v>
      </c>
      <c r="I431" s="2">
        <v>85</v>
      </c>
      <c r="J431" s="5" t="str">
        <f>IF(C431="A+",10,IF(C431="A",6.31,IF(C431="B",3.98,IF(C431="C",2.51,IF(C431="D",1.59,IF(C431="D-",1,""))))))</f>
        <v/>
      </c>
      <c r="K431" s="5" t="str">
        <f>IF(E431="A+",10,IF(E431="A",6.31,IF(E431="B",3.98,IF(E431="C",2.51,IF(E431="D",1.59,IF(E431="D-",1,""))))))</f>
        <v/>
      </c>
      <c r="L431" s="5" t="str">
        <f>IF(G431="A+",10,IF(G431="A",6.31,IF(G431="B",3.98,IF(G431="C",2.51,IF(G431="D",1.59,IF(G431="D-",1,""))))))</f>
        <v/>
      </c>
      <c r="M431" s="6" t="str">
        <f>IF(ISNUMBER(J431),J431/(J431+K431+L431),"")</f>
        <v/>
      </c>
      <c r="N431" s="7" t="str">
        <f>IF(ISNUMBER(M431),I431*(1+(1-M431)*0.475),"")</f>
        <v/>
      </c>
    </row>
    <row r="432" spans="1:14" x14ac:dyDescent="0.25">
      <c r="B432" s="4">
        <v>1808</v>
      </c>
      <c r="C432" s="4"/>
      <c r="D432" s="2" t="s">
        <v>58</v>
      </c>
      <c r="E432" s="4"/>
      <c r="F432" s="2" t="s">
        <v>56</v>
      </c>
      <c r="G432" s="4"/>
      <c r="H432" s="2" t="s">
        <v>57</v>
      </c>
      <c r="I432" s="2">
        <v>88</v>
      </c>
      <c r="J432" s="5" t="str">
        <f>IF(C432="A+",10,IF(C432="A",6.31,IF(C432="B",3.98,IF(C432="C",2.51,IF(C432="D",1.59,IF(C432="D-",1,""))))))</f>
        <v/>
      </c>
      <c r="K432" s="5" t="str">
        <f>IF(E432="A+",10,IF(E432="A",6.31,IF(E432="B",3.98,IF(E432="C",2.51,IF(E432="D",1.59,IF(E432="D-",1,""))))))</f>
        <v/>
      </c>
      <c r="L432" s="5" t="str">
        <f>IF(G432="A+",10,IF(G432="A",6.31,IF(G432="B",3.98,IF(G432="C",2.51,IF(G432="D",1.59,IF(G432="D-",1,""))))))</f>
        <v/>
      </c>
      <c r="M432" s="6" t="str">
        <f>IF(ISNUMBER(J432),J432/(J432+K432+L432),"")</f>
        <v/>
      </c>
      <c r="N432" s="7" t="str">
        <f>IF(ISNUMBER(M432),I432*(1+(1-M432)*0.475),"")</f>
        <v/>
      </c>
    </row>
    <row r="433" spans="1:14" x14ac:dyDescent="0.25">
      <c r="M433" s="3" t="s">
        <v>17</v>
      </c>
      <c r="N433" s="8" t="str">
        <f>IF(ISNUMBER(M432),AVERAGE(N429:N432),"")</f>
        <v/>
      </c>
    </row>
    <row r="434" spans="1:14" x14ac:dyDescent="0.25">
      <c r="M434" s="3" t="s">
        <v>18</v>
      </c>
      <c r="N434" s="8" t="str">
        <f>IF(ISNUMBER(N433),(N433-69.8)*(113/118),"")</f>
        <v/>
      </c>
    </row>
    <row r="436" spans="1:14" x14ac:dyDescent="0.25">
      <c r="A436" s="11" t="s">
        <v>94</v>
      </c>
      <c r="B436" s="10">
        <v>1906</v>
      </c>
      <c r="C436" s="10" t="s">
        <v>135</v>
      </c>
      <c r="D436" s="11" t="s">
        <v>94</v>
      </c>
      <c r="E436" s="10" t="s">
        <v>138</v>
      </c>
      <c r="F436" s="11" t="s">
        <v>86</v>
      </c>
      <c r="G436" s="10" t="s">
        <v>135</v>
      </c>
      <c r="H436" s="11" t="s">
        <v>93</v>
      </c>
      <c r="I436" s="11">
        <v>73</v>
      </c>
      <c r="J436" s="12">
        <f>IF(C436="A+",10,IF(C436="A",6.31,IF(C436="B",3.98,IF(C436="C",2.51,IF(C436="D",1.59,IF(C436="D-",1,""))))))</f>
        <v>3.98</v>
      </c>
      <c r="K436" s="12">
        <f>IF(E436="A+",10,IF(E436="A",6.31,IF(E436="B",3.98,IF(E436="C",2.51,IF(E436="D",1.59,IF(E436="D-",1,""))))))</f>
        <v>1.59</v>
      </c>
      <c r="L436" s="12">
        <f>IF(G436="A+",10,IF(G436="A",6.31,IF(G436="B",3.98,IF(G436="C",2.51,IF(G436="D",1.59,IF(G436="D-",1,""))))))</f>
        <v>3.98</v>
      </c>
      <c r="M436" s="13">
        <f>IF(ISNUMBER(J436),J436/(J436+K436+L436),"")</f>
        <v>0.41675392670157063</v>
      </c>
      <c r="N436" s="14">
        <f>IF(ISNUMBER(M436),I436*(1+(1-M436)*0.475),"")</f>
        <v>93.224057591623037</v>
      </c>
    </row>
    <row r="437" spans="1:14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9" t="s">
        <v>17</v>
      </c>
      <c r="N437" s="15">
        <f>IF(ISNUMBER(M436),AVERAGE(N436:N436),"")</f>
        <v>93.224057591623037</v>
      </c>
    </row>
    <row r="438" spans="1:14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9" t="s">
        <v>18</v>
      </c>
      <c r="N438" s="15">
        <f>IF(ISNUMBER(N437),(N437-69.8)*(113/118),"")</f>
        <v>22.431512778418675</v>
      </c>
    </row>
    <row r="440" spans="1:14" x14ac:dyDescent="0.25">
      <c r="A440" s="2" t="s">
        <v>121</v>
      </c>
      <c r="B440" s="4">
        <v>1508</v>
      </c>
      <c r="C440" s="4"/>
      <c r="D440" s="2" t="s">
        <v>121</v>
      </c>
      <c r="E440" s="4"/>
      <c r="F440" s="2" t="s">
        <v>55</v>
      </c>
      <c r="G440" s="4"/>
      <c r="H440" s="2" t="s">
        <v>102</v>
      </c>
      <c r="I440" s="2">
        <v>72</v>
      </c>
      <c r="J440" s="5" t="str">
        <f>IF(C440="A+",10,IF(C440="A",6.31,IF(C440="B",3.98,IF(C440="C",2.51,IF(C440="D",1.59,IF(C440="D-",1,""))))))</f>
        <v/>
      </c>
      <c r="K440" s="5" t="str">
        <f>IF(E440="A+",10,IF(E440="A",6.31,IF(E440="B",3.98,IF(E440="C",2.51,IF(E440="D",1.59,IF(E440="D-",1,""))))))</f>
        <v/>
      </c>
      <c r="L440" s="5" t="str">
        <f>IF(G440="A+",10,IF(G440="A",6.31,IF(G440="B",3.98,IF(G440="C",2.51,IF(G440="D",1.59,IF(G440="D-",1,""))))))</f>
        <v/>
      </c>
      <c r="M440" s="6" t="str">
        <f>IF(ISNUMBER(J440),J440/(J440+K440+L440),"")</f>
        <v/>
      </c>
      <c r="N440" s="7" t="str">
        <f>IF(ISNUMBER(M440),I440*(1+(1-M440)*0.475),"")</f>
        <v/>
      </c>
    </row>
    <row r="441" spans="1:14" x14ac:dyDescent="0.25">
      <c r="M441" s="3" t="s">
        <v>17</v>
      </c>
      <c r="N441" s="8" t="str">
        <f>IF(ISNUMBER(M440),AVERAGE(N440:N440),"")</f>
        <v/>
      </c>
    </row>
    <row r="442" spans="1:14" x14ac:dyDescent="0.25">
      <c r="M442" s="3" t="s">
        <v>18</v>
      </c>
      <c r="N442" s="8" t="str">
        <f>IF(ISNUMBER(N441),(N441-69.8)*(113/118),"")</f>
        <v/>
      </c>
    </row>
    <row r="444" spans="1:14" x14ac:dyDescent="0.25">
      <c r="A444" s="11" t="s">
        <v>87</v>
      </c>
      <c r="B444" s="10">
        <v>1505</v>
      </c>
      <c r="C444" s="10" t="s">
        <v>135</v>
      </c>
      <c r="D444" s="11" t="s">
        <v>87</v>
      </c>
      <c r="E444" s="10" t="s">
        <v>137</v>
      </c>
      <c r="F444" s="11" t="s">
        <v>122</v>
      </c>
      <c r="G444" s="10" t="s">
        <v>138</v>
      </c>
      <c r="H444" s="11" t="s">
        <v>123</v>
      </c>
      <c r="I444" s="11">
        <v>78</v>
      </c>
      <c r="J444" s="12">
        <f t="shared" ref="J444:J449" si="44">IF(C444="A+",10,IF(C444="A",6.31,IF(C444="B",3.98,IF(C444="C",2.51,IF(C444="D",1.59,IF(C444="D-",1,""))))))</f>
        <v>3.98</v>
      </c>
      <c r="K444" s="12">
        <f t="shared" ref="K444:K449" si="45">IF(E444="A+",10,IF(E444="A",6.31,IF(E444="B",3.98,IF(E444="C",2.51,IF(E444="D",1.59,IF(E444="D-",1,""))))))</f>
        <v>2.5099999999999998</v>
      </c>
      <c r="L444" s="12">
        <f t="shared" ref="L444:L449" si="46">IF(G444="A+",10,IF(G444="A",6.31,IF(G444="B",3.98,IF(G444="C",2.51,IF(G444="D",1.59,IF(G444="D-",1,""))))))</f>
        <v>1.59</v>
      </c>
      <c r="M444" s="13">
        <f t="shared" ref="M444:M449" si="47">IF(ISNUMBER(J444),J444/(J444+K444+L444),"")</f>
        <v>0.49257425742574257</v>
      </c>
      <c r="N444" s="14">
        <f t="shared" ref="N444:N449" si="48">IF(ISNUMBER(M444),I444*(1+(1-M444)*0.475),"")</f>
        <v>96.800123762376245</v>
      </c>
    </row>
    <row r="445" spans="1:14" x14ac:dyDescent="0.25">
      <c r="A445" s="11"/>
      <c r="B445" s="10">
        <v>1508</v>
      </c>
      <c r="C445" s="10" t="s">
        <v>135</v>
      </c>
      <c r="D445" s="11" t="s">
        <v>87</v>
      </c>
      <c r="E445" s="10" t="s">
        <v>135</v>
      </c>
      <c r="F445" s="11" t="s">
        <v>33</v>
      </c>
      <c r="G445" s="10" t="s">
        <v>138</v>
      </c>
      <c r="H445" s="11" t="s">
        <v>123</v>
      </c>
      <c r="I445" s="11">
        <v>76</v>
      </c>
      <c r="J445" s="12">
        <f t="shared" si="44"/>
        <v>3.98</v>
      </c>
      <c r="K445" s="12">
        <f t="shared" si="45"/>
        <v>3.98</v>
      </c>
      <c r="L445" s="12">
        <f t="shared" si="46"/>
        <v>1.59</v>
      </c>
      <c r="M445" s="13">
        <f t="shared" si="47"/>
        <v>0.41675392670157063</v>
      </c>
      <c r="N445" s="14">
        <f t="shared" si="48"/>
        <v>97.055183246073298</v>
      </c>
    </row>
    <row r="446" spans="1:14" x14ac:dyDescent="0.25">
      <c r="A446" s="11"/>
      <c r="B446" s="10">
        <v>1608</v>
      </c>
      <c r="C446" s="10" t="s">
        <v>135</v>
      </c>
      <c r="D446" s="11" t="s">
        <v>87</v>
      </c>
      <c r="E446" s="10" t="s">
        <v>135</v>
      </c>
      <c r="F446" s="11" t="s">
        <v>62</v>
      </c>
      <c r="G446" s="10" t="s">
        <v>138</v>
      </c>
      <c r="H446" s="11" t="s">
        <v>123</v>
      </c>
      <c r="I446" s="11">
        <v>75</v>
      </c>
      <c r="J446" s="12">
        <f t="shared" si="44"/>
        <v>3.98</v>
      </c>
      <c r="K446" s="12">
        <f t="shared" si="45"/>
        <v>3.98</v>
      </c>
      <c r="L446" s="12">
        <f t="shared" si="46"/>
        <v>1.59</v>
      </c>
      <c r="M446" s="13">
        <f t="shared" si="47"/>
        <v>0.41675392670157063</v>
      </c>
      <c r="N446" s="14">
        <f t="shared" si="48"/>
        <v>95.778141361256544</v>
      </c>
    </row>
    <row r="447" spans="1:14" x14ac:dyDescent="0.25">
      <c r="A447" s="11"/>
      <c r="B447" s="10">
        <v>1805</v>
      </c>
      <c r="C447" s="10" t="s">
        <v>135</v>
      </c>
      <c r="D447" s="11" t="s">
        <v>87</v>
      </c>
      <c r="E447" s="10" t="s">
        <v>135</v>
      </c>
      <c r="F447" s="11" t="s">
        <v>84</v>
      </c>
      <c r="G447" s="10" t="s">
        <v>137</v>
      </c>
      <c r="H447" s="11" t="s">
        <v>86</v>
      </c>
      <c r="I447" s="11">
        <v>70</v>
      </c>
      <c r="J447" s="12">
        <f t="shared" si="44"/>
        <v>3.98</v>
      </c>
      <c r="K447" s="12">
        <f t="shared" si="45"/>
        <v>3.98</v>
      </c>
      <c r="L447" s="12">
        <f t="shared" si="46"/>
        <v>2.5099999999999998</v>
      </c>
      <c r="M447" s="13">
        <f t="shared" si="47"/>
        <v>0.38013371537726842</v>
      </c>
      <c r="N447" s="14">
        <f t="shared" si="48"/>
        <v>90.610553963705826</v>
      </c>
    </row>
    <row r="448" spans="1:14" x14ac:dyDescent="0.25">
      <c r="A448" s="11"/>
      <c r="B448" s="10">
        <v>1808</v>
      </c>
      <c r="C448" s="10" t="s">
        <v>135</v>
      </c>
      <c r="D448" s="11" t="s">
        <v>87</v>
      </c>
      <c r="E448" s="10" t="s">
        <v>135</v>
      </c>
      <c r="F448" s="11" t="s">
        <v>62</v>
      </c>
      <c r="G448" s="10" t="s">
        <v>137</v>
      </c>
      <c r="H448" s="11" t="s">
        <v>123</v>
      </c>
      <c r="I448" s="11">
        <v>73</v>
      </c>
      <c r="J448" s="12">
        <f t="shared" si="44"/>
        <v>3.98</v>
      </c>
      <c r="K448" s="12">
        <f t="shared" si="45"/>
        <v>3.98</v>
      </c>
      <c r="L448" s="12">
        <f t="shared" si="46"/>
        <v>2.5099999999999998</v>
      </c>
      <c r="M448" s="13">
        <f t="shared" si="47"/>
        <v>0.38013371537726842</v>
      </c>
      <c r="N448" s="14">
        <f t="shared" si="48"/>
        <v>94.49386341929322</v>
      </c>
    </row>
    <row r="449" spans="1:14" x14ac:dyDescent="0.25">
      <c r="A449" s="11"/>
      <c r="B449" s="10">
        <v>1906</v>
      </c>
      <c r="C449" s="10" t="s">
        <v>135</v>
      </c>
      <c r="D449" s="11" t="s">
        <v>87</v>
      </c>
      <c r="E449" s="10" t="s">
        <v>137</v>
      </c>
      <c r="F449" s="11" t="s">
        <v>122</v>
      </c>
      <c r="G449" s="10" t="s">
        <v>137</v>
      </c>
      <c r="H449" s="11" t="s">
        <v>123</v>
      </c>
      <c r="I449" s="11">
        <v>75</v>
      </c>
      <c r="J449" s="12">
        <f t="shared" si="44"/>
        <v>3.98</v>
      </c>
      <c r="K449" s="12">
        <f t="shared" si="45"/>
        <v>2.5099999999999998</v>
      </c>
      <c r="L449" s="12">
        <f t="shared" si="46"/>
        <v>2.5099999999999998</v>
      </c>
      <c r="M449" s="13">
        <f t="shared" si="47"/>
        <v>0.44222222222222224</v>
      </c>
      <c r="N449" s="14">
        <f t="shared" si="48"/>
        <v>94.870833333333337</v>
      </c>
    </row>
    <row r="450" spans="1:14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9" t="s">
        <v>17</v>
      </c>
      <c r="N450" s="15">
        <f>IF(ISNUMBER(M449),AVERAGE(N444:N449),"")</f>
        <v>94.934783181006424</v>
      </c>
    </row>
    <row r="451" spans="1:14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9" t="s">
        <v>18</v>
      </c>
      <c r="N451" s="15">
        <f>IF(ISNUMBER(N450),(N450-69.8)*(113/118),"")</f>
        <v>24.069749995370561</v>
      </c>
    </row>
    <row r="453" spans="1:14" s="71" customFormat="1" x14ac:dyDescent="0.25">
      <c r="A453" s="11" t="s">
        <v>62</v>
      </c>
      <c r="B453" s="10">
        <v>1505</v>
      </c>
      <c r="C453" s="10" t="s">
        <v>135</v>
      </c>
      <c r="D453" s="11" t="s">
        <v>62</v>
      </c>
      <c r="E453" s="10" t="s">
        <v>135</v>
      </c>
      <c r="F453" s="11" t="s">
        <v>124</v>
      </c>
      <c r="G453" s="10" t="s">
        <v>139</v>
      </c>
      <c r="H453" s="11" t="s">
        <v>125</v>
      </c>
      <c r="I453" s="11">
        <v>80</v>
      </c>
      <c r="J453" s="12">
        <f t="shared" ref="J453:J458" si="49">IF(C453="A+",10,IF(C453="A",6.31,IF(C453="B",3.98,IF(C453="C",2.51,IF(C453="D",1.59,IF(C453="D-",1,""))))))</f>
        <v>3.98</v>
      </c>
      <c r="K453" s="12">
        <f t="shared" ref="K453:K458" si="50">IF(E453="A+",10,IF(E453="A",6.31,IF(E453="B",3.98,IF(E453="C",2.51,IF(E453="D",1.59,IF(E453="D-",1,""))))))</f>
        <v>3.98</v>
      </c>
      <c r="L453" s="12">
        <f t="shared" ref="L453:L458" si="51">IF(G453="A+",10,IF(G453="A",6.31,IF(G453="B",3.98,IF(G453="C",2.51,IF(G453="D",1.59,IF(G453="D-",1,""))))))</f>
        <v>1</v>
      </c>
      <c r="M453" s="13">
        <f t="shared" ref="M453:M458" si="52">IF(ISNUMBER(J453),J453/(J453+K453+L453),"")</f>
        <v>0.44419642857142855</v>
      </c>
      <c r="N453" s="14">
        <f t="shared" ref="N453:N458" si="53">IF(ISNUMBER(M453),I453*(1+(1-M453)*0.475),"")</f>
        <v>101.12053571428572</v>
      </c>
    </row>
    <row r="454" spans="1:14" s="71" customFormat="1" x14ac:dyDescent="0.25">
      <c r="A454" s="11"/>
      <c r="B454" s="10">
        <v>1508</v>
      </c>
      <c r="C454" s="10" t="s">
        <v>135</v>
      </c>
      <c r="D454" s="11" t="s">
        <v>62</v>
      </c>
      <c r="E454" s="10" t="s">
        <v>135</v>
      </c>
      <c r="F454" s="11" t="s">
        <v>126</v>
      </c>
      <c r="G454" s="10" t="s">
        <v>139</v>
      </c>
      <c r="H454" s="11" t="s">
        <v>125</v>
      </c>
      <c r="I454" s="11">
        <v>75</v>
      </c>
      <c r="J454" s="12">
        <f t="shared" si="49"/>
        <v>3.98</v>
      </c>
      <c r="K454" s="12">
        <f t="shared" si="50"/>
        <v>3.98</v>
      </c>
      <c r="L454" s="12">
        <f t="shared" si="51"/>
        <v>1</v>
      </c>
      <c r="M454" s="13">
        <f t="shared" si="52"/>
        <v>0.44419642857142855</v>
      </c>
      <c r="N454" s="14">
        <f t="shared" si="53"/>
        <v>94.800502232142861</v>
      </c>
    </row>
    <row r="455" spans="1:14" s="71" customFormat="1" x14ac:dyDescent="0.25">
      <c r="A455" s="11"/>
      <c r="B455" s="10">
        <v>1608</v>
      </c>
      <c r="C455" s="10" t="s">
        <v>135</v>
      </c>
      <c r="D455" s="11" t="s">
        <v>62</v>
      </c>
      <c r="E455" s="10" t="s">
        <v>135</v>
      </c>
      <c r="F455" s="11" t="s">
        <v>87</v>
      </c>
      <c r="G455" s="10" t="s">
        <v>138</v>
      </c>
      <c r="H455" s="11" t="s">
        <v>123</v>
      </c>
      <c r="I455" s="11">
        <v>75</v>
      </c>
      <c r="J455" s="12">
        <f t="shared" si="49"/>
        <v>3.98</v>
      </c>
      <c r="K455" s="12">
        <f t="shared" si="50"/>
        <v>3.98</v>
      </c>
      <c r="L455" s="12">
        <f t="shared" si="51"/>
        <v>1.59</v>
      </c>
      <c r="M455" s="13">
        <f t="shared" si="52"/>
        <v>0.41675392670157063</v>
      </c>
      <c r="N455" s="14">
        <f t="shared" si="53"/>
        <v>95.778141361256544</v>
      </c>
    </row>
    <row r="456" spans="1:14" s="71" customFormat="1" x14ac:dyDescent="0.25">
      <c r="A456" s="11"/>
      <c r="B456" s="10">
        <v>1805</v>
      </c>
      <c r="C456" s="10" t="s">
        <v>135</v>
      </c>
      <c r="D456" s="11" t="s">
        <v>62</v>
      </c>
      <c r="E456" s="10" t="s">
        <v>135</v>
      </c>
      <c r="F456" s="11" t="s">
        <v>61</v>
      </c>
      <c r="G456" s="10" t="s">
        <v>135</v>
      </c>
      <c r="H456" s="11" t="s">
        <v>45</v>
      </c>
      <c r="I456" s="11">
        <v>66</v>
      </c>
      <c r="J456" s="12">
        <f t="shared" si="49"/>
        <v>3.98</v>
      </c>
      <c r="K456" s="12">
        <f t="shared" si="50"/>
        <v>3.98</v>
      </c>
      <c r="L456" s="12">
        <f t="shared" si="51"/>
        <v>3.98</v>
      </c>
      <c r="M456" s="13">
        <f t="shared" si="52"/>
        <v>0.33333333333333337</v>
      </c>
      <c r="N456" s="14">
        <f t="shared" si="53"/>
        <v>86.9</v>
      </c>
    </row>
    <row r="457" spans="1:14" s="71" customFormat="1" x14ac:dyDescent="0.25">
      <c r="A457" s="11"/>
      <c r="B457" s="10">
        <v>1808</v>
      </c>
      <c r="C457" s="10" t="s">
        <v>135</v>
      </c>
      <c r="D457" s="11" t="s">
        <v>62</v>
      </c>
      <c r="E457" s="10" t="s">
        <v>135</v>
      </c>
      <c r="F457" s="11" t="s">
        <v>87</v>
      </c>
      <c r="G457" s="10" t="s">
        <v>137</v>
      </c>
      <c r="H457" s="11" t="s">
        <v>123</v>
      </c>
      <c r="I457" s="11">
        <v>73</v>
      </c>
      <c r="J457" s="12">
        <f t="shared" si="49"/>
        <v>3.98</v>
      </c>
      <c r="K457" s="12">
        <f t="shared" si="50"/>
        <v>3.98</v>
      </c>
      <c r="L457" s="12">
        <f t="shared" si="51"/>
        <v>2.5099999999999998</v>
      </c>
      <c r="M457" s="13">
        <f t="shared" si="52"/>
        <v>0.38013371537726842</v>
      </c>
      <c r="N457" s="14">
        <f t="shared" si="53"/>
        <v>94.49386341929322</v>
      </c>
    </row>
    <row r="458" spans="1:14" s="71" customFormat="1" x14ac:dyDescent="0.25">
      <c r="A458" s="11"/>
      <c r="B458" s="10">
        <v>1906</v>
      </c>
      <c r="C458" s="10" t="s">
        <v>135</v>
      </c>
      <c r="D458" s="11" t="s">
        <v>62</v>
      </c>
      <c r="E458" s="10" t="s">
        <v>135</v>
      </c>
      <c r="F458" s="11" t="s">
        <v>124</v>
      </c>
      <c r="G458" s="10" t="s">
        <v>138</v>
      </c>
      <c r="H458" s="11" t="s">
        <v>127</v>
      </c>
      <c r="I458" s="11">
        <v>69</v>
      </c>
      <c r="J458" s="12">
        <f t="shared" si="49"/>
        <v>3.98</v>
      </c>
      <c r="K458" s="12">
        <f t="shared" si="50"/>
        <v>3.98</v>
      </c>
      <c r="L458" s="12">
        <f t="shared" si="51"/>
        <v>1.59</v>
      </c>
      <c r="M458" s="13">
        <f t="shared" si="52"/>
        <v>0.41675392670157063</v>
      </c>
      <c r="N458" s="14">
        <f t="shared" si="53"/>
        <v>88.115890052356022</v>
      </c>
    </row>
    <row r="459" spans="1:14" s="71" customFormat="1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9" t="s">
        <v>17</v>
      </c>
      <c r="N459" s="15">
        <f>IF(ISNUMBER(M458),AVERAGE(N453:N458),"")</f>
        <v>93.534822129889065</v>
      </c>
    </row>
    <row r="460" spans="1:14" s="71" customFormat="1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9" t="s">
        <v>18</v>
      </c>
      <c r="N460" s="15">
        <f>IF(ISNUMBER(N459),(N459-69.8)*(113/118),"")</f>
        <v>22.729109327775124</v>
      </c>
    </row>
    <row r="462" spans="1:14" x14ac:dyDescent="0.25">
      <c r="A462" s="11" t="s">
        <v>124</v>
      </c>
      <c r="B462" s="10">
        <v>1505</v>
      </c>
      <c r="C462" s="10" t="s">
        <v>135</v>
      </c>
      <c r="D462" s="11" t="s">
        <v>124</v>
      </c>
      <c r="E462" s="10" t="s">
        <v>135</v>
      </c>
      <c r="F462" s="11" t="s">
        <v>62</v>
      </c>
      <c r="G462" s="10" t="s">
        <v>139</v>
      </c>
      <c r="H462" s="11" t="s">
        <v>125</v>
      </c>
      <c r="I462" s="11">
        <v>80</v>
      </c>
      <c r="J462" s="12">
        <f>IF(C462="A+",10,IF(C462="A",6.31,IF(C462="B",3.98,IF(C462="C",2.51,IF(C462="D",1.59,IF(C462="D-",1,""))))))</f>
        <v>3.98</v>
      </c>
      <c r="K462" s="12">
        <f>IF(E462="A+",10,IF(E462="A",6.31,IF(E462="B",3.98,IF(E462="C",2.51,IF(E462="D",1.59,IF(E462="D-",1,""))))))</f>
        <v>3.98</v>
      </c>
      <c r="L462" s="12">
        <f>IF(G462="A+",10,IF(G462="A",6.31,IF(G462="B",3.98,IF(G462="C",2.51,IF(G462="D",1.59,IF(G462="D-",1,""))))))</f>
        <v>1</v>
      </c>
      <c r="M462" s="13">
        <f>IF(ISNUMBER(J462),J462/(J462+K462+L462),"")</f>
        <v>0.44419642857142855</v>
      </c>
      <c r="N462" s="14">
        <f>IF(ISNUMBER(M462),I462*(1+(1-M462)*0.475),"")</f>
        <v>101.12053571428572</v>
      </c>
    </row>
    <row r="463" spans="1:14" x14ac:dyDescent="0.25">
      <c r="A463" s="11"/>
      <c r="B463" s="10">
        <v>1608</v>
      </c>
      <c r="C463" s="10" t="s">
        <v>135</v>
      </c>
      <c r="D463" s="11" t="s">
        <v>124</v>
      </c>
      <c r="E463" s="10" t="s">
        <v>137</v>
      </c>
      <c r="F463" s="11" t="s">
        <v>122</v>
      </c>
      <c r="G463" s="10" t="s">
        <v>135</v>
      </c>
      <c r="H463" s="11" t="s">
        <v>126</v>
      </c>
      <c r="I463" s="11">
        <v>76</v>
      </c>
      <c r="J463" s="12">
        <f>IF(C463="A+",10,IF(C463="A",6.31,IF(C463="B",3.98,IF(C463="C",2.51,IF(C463="D",1.59,IF(C463="D-",1,""))))))</f>
        <v>3.98</v>
      </c>
      <c r="K463" s="12">
        <f>IF(E463="A+",10,IF(E463="A",6.31,IF(E463="B",3.98,IF(E463="C",2.51,IF(E463="D",1.59,IF(E463="D-",1,""))))))</f>
        <v>2.5099999999999998</v>
      </c>
      <c r="L463" s="12">
        <f>IF(G463="A+",10,IF(G463="A",6.31,IF(G463="B",3.98,IF(G463="C",2.51,IF(G463="D",1.59,IF(G463="D-",1,""))))))</f>
        <v>3.98</v>
      </c>
      <c r="M463" s="13">
        <f>IF(ISNUMBER(J463),J463/(J463+K463+L463),"")</f>
        <v>0.38013371537726837</v>
      </c>
      <c r="N463" s="14">
        <f>IF(ISNUMBER(M463),I463*(1+(1-M463)*0.475),"")</f>
        <v>98.377172874880614</v>
      </c>
    </row>
    <row r="464" spans="1:14" x14ac:dyDescent="0.25">
      <c r="A464" s="11"/>
      <c r="B464" s="10">
        <v>1906</v>
      </c>
      <c r="C464" s="10" t="s">
        <v>135</v>
      </c>
      <c r="D464" s="11" t="s">
        <v>124</v>
      </c>
      <c r="E464" s="10" t="s">
        <v>135</v>
      </c>
      <c r="F464" s="11" t="s">
        <v>62</v>
      </c>
      <c r="G464" s="10" t="s">
        <v>138</v>
      </c>
      <c r="H464" s="11" t="s">
        <v>127</v>
      </c>
      <c r="I464" s="11">
        <v>69</v>
      </c>
      <c r="J464" s="12">
        <f>IF(C464="A+",10,IF(C464="A",6.31,IF(C464="B",3.98,IF(C464="C",2.51,IF(C464="D",1.59,IF(C464="D-",1,""))))))</f>
        <v>3.98</v>
      </c>
      <c r="K464" s="12">
        <f>IF(E464="A+",10,IF(E464="A",6.31,IF(E464="B",3.98,IF(E464="C",2.51,IF(E464="D",1.59,IF(E464="D-",1,""))))))</f>
        <v>3.98</v>
      </c>
      <c r="L464" s="12">
        <f>IF(G464="A+",10,IF(G464="A",6.31,IF(G464="B",3.98,IF(G464="C",2.51,IF(G464="D",1.59,IF(G464="D-",1,""))))))</f>
        <v>1.59</v>
      </c>
      <c r="M464" s="13">
        <f>IF(ISNUMBER(J464),J464/(J464+K464+L464),"")</f>
        <v>0.41675392670157063</v>
      </c>
      <c r="N464" s="14">
        <f>IF(ISNUMBER(M464),I464*(1+(1-M464)*0.475),"")</f>
        <v>88.115890052356022</v>
      </c>
    </row>
    <row r="465" spans="1:14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9" t="s">
        <v>17</v>
      </c>
      <c r="N465" s="15">
        <f>IF(ISNUMBER(M464),AVERAGE(N462:N464),"")</f>
        <v>95.871199547174115</v>
      </c>
    </row>
    <row r="466" spans="1:14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9" t="s">
        <v>18</v>
      </c>
      <c r="N466" s="15">
        <f>IF(ISNUMBER(N465),(N465-69.8)*(113/118),"")</f>
        <v>24.966487701954875</v>
      </c>
    </row>
    <row r="468" spans="1:14" x14ac:dyDescent="0.25">
      <c r="A468" s="11" t="s">
        <v>122</v>
      </c>
      <c r="B468" s="10">
        <v>1505</v>
      </c>
      <c r="C468" s="10" t="s">
        <v>137</v>
      </c>
      <c r="D468" s="11" t="s">
        <v>122</v>
      </c>
      <c r="E468" s="10" t="s">
        <v>135</v>
      </c>
      <c r="F468" s="11" t="s">
        <v>87</v>
      </c>
      <c r="G468" s="10" t="s">
        <v>138</v>
      </c>
      <c r="H468" s="11" t="s">
        <v>123</v>
      </c>
      <c r="I468" s="11">
        <v>78</v>
      </c>
      <c r="J468" s="12">
        <f>IF(C468="A+",10,IF(C468="A",6.31,IF(C468="B",3.98,IF(C468="C",2.51,IF(C468="D",1.59,IF(C468="D-",1,""))))))</f>
        <v>2.5099999999999998</v>
      </c>
      <c r="K468" s="12">
        <f>IF(E468="A+",10,IF(E468="A",6.31,IF(E468="B",3.98,IF(E468="C",2.51,IF(E468="D",1.59,IF(E468="D-",1,""))))))</f>
        <v>3.98</v>
      </c>
      <c r="L468" s="12">
        <f>IF(G468="A+",10,IF(G468="A",6.31,IF(G468="B",3.98,IF(G468="C",2.51,IF(G468="D",1.59,IF(G468="D-",1,""))))))</f>
        <v>1.59</v>
      </c>
      <c r="M468" s="13">
        <f>IF(ISNUMBER(J468),J468/(J468+K468+L468),"")</f>
        <v>0.31064356435643564</v>
      </c>
      <c r="N468" s="14">
        <f>IF(ISNUMBER(M468),I468*(1+(1-M468)*0.475),"")</f>
        <v>103.54065594059406</v>
      </c>
    </row>
    <row r="469" spans="1:14" x14ac:dyDescent="0.25">
      <c r="A469" s="11"/>
      <c r="B469" s="10">
        <v>1608</v>
      </c>
      <c r="C469" s="10" t="s">
        <v>137</v>
      </c>
      <c r="D469" s="11" t="s">
        <v>122</v>
      </c>
      <c r="E469" s="10" t="s">
        <v>135</v>
      </c>
      <c r="F469" s="11" t="s">
        <v>124</v>
      </c>
      <c r="G469" s="10" t="s">
        <v>135</v>
      </c>
      <c r="H469" s="11" t="s">
        <v>126</v>
      </c>
      <c r="I469" s="11">
        <v>76</v>
      </c>
      <c r="J469" s="12">
        <f>IF(C469="A+",10,IF(C469="A",6.31,IF(C469="B",3.98,IF(C469="C",2.51,IF(C469="D",1.59,IF(C469="D-",1,""))))))</f>
        <v>2.5099999999999998</v>
      </c>
      <c r="K469" s="12">
        <f>IF(E469="A+",10,IF(E469="A",6.31,IF(E469="B",3.98,IF(E469="C",2.51,IF(E469="D",1.59,IF(E469="D-",1,""))))))</f>
        <v>3.98</v>
      </c>
      <c r="L469" s="12">
        <f>IF(G469="A+",10,IF(G469="A",6.31,IF(G469="B",3.98,IF(G469="C",2.51,IF(G469="D",1.59,IF(G469="D-",1,""))))))</f>
        <v>3.98</v>
      </c>
      <c r="M469" s="13">
        <f>IF(ISNUMBER(J469),J469/(J469+K469+L469),"")</f>
        <v>0.23973256924546318</v>
      </c>
      <c r="N469" s="14">
        <f>IF(ISNUMBER(M469),I469*(1+(1-M469)*0.475),"")</f>
        <v>103.44565425023879</v>
      </c>
    </row>
    <row r="470" spans="1:14" x14ac:dyDescent="0.25">
      <c r="A470" s="11"/>
      <c r="B470" s="10">
        <v>1906</v>
      </c>
      <c r="C470" s="10" t="s">
        <v>137</v>
      </c>
      <c r="D470" s="11" t="s">
        <v>122</v>
      </c>
      <c r="E470" s="10" t="s">
        <v>135</v>
      </c>
      <c r="F470" s="11" t="s">
        <v>87</v>
      </c>
      <c r="G470" s="10" t="s">
        <v>138</v>
      </c>
      <c r="H470" s="11" t="s">
        <v>123</v>
      </c>
      <c r="I470" s="11">
        <v>75</v>
      </c>
      <c r="J470" s="12">
        <f>IF(C470="A+",10,IF(C470="A",6.31,IF(C470="B",3.98,IF(C470="C",2.51,IF(C470="D",1.59,IF(C470="D-",1,""))))))</f>
        <v>2.5099999999999998</v>
      </c>
      <c r="K470" s="12">
        <f>IF(E470="A+",10,IF(E470="A",6.31,IF(E470="B",3.98,IF(E470="C",2.51,IF(E470="D",1.59,IF(E470="D-",1,""))))))</f>
        <v>3.98</v>
      </c>
      <c r="L470" s="12">
        <f>IF(G470="A+",10,IF(G470="A",6.31,IF(G470="B",3.98,IF(G470="C",2.51,IF(G470="D",1.59,IF(G470="D-",1,""))))))</f>
        <v>1.59</v>
      </c>
      <c r="M470" s="13">
        <f>IF(ISNUMBER(J470),J470/(J470+K470+L470),"")</f>
        <v>0.31064356435643564</v>
      </c>
      <c r="N470" s="14">
        <f>IF(ISNUMBER(M470),I470*(1+(1-M470)*0.475),"")</f>
        <v>99.558323019801989</v>
      </c>
    </row>
    <row r="471" spans="1:14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9" t="s">
        <v>17</v>
      </c>
      <c r="N471" s="15">
        <f>IF(ISNUMBER(M470),AVERAGE(N468:N470),"")</f>
        <v>102.18154440354495</v>
      </c>
    </row>
    <row r="472" spans="1:14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9" t="s">
        <v>18</v>
      </c>
      <c r="N472" s="15">
        <f>IF(ISNUMBER(N471),(N471-69.8)*(113/118),"")</f>
        <v>31.00944506441169</v>
      </c>
    </row>
    <row r="474" spans="1:14" x14ac:dyDescent="0.25">
      <c r="A474" s="11" t="s">
        <v>128</v>
      </c>
      <c r="B474" s="10">
        <v>1808</v>
      </c>
      <c r="C474" s="10" t="s">
        <v>136</v>
      </c>
      <c r="D474" s="11" t="s">
        <v>128</v>
      </c>
      <c r="E474" s="10" t="s">
        <v>137</v>
      </c>
      <c r="F474" s="11" t="s">
        <v>129</v>
      </c>
      <c r="G474" s="10" t="s">
        <v>135</v>
      </c>
      <c r="H474" s="11" t="s">
        <v>130</v>
      </c>
      <c r="I474" s="11">
        <v>70</v>
      </c>
      <c r="J474" s="12">
        <f>IF(C474="A+",10,IF(C474="A",6.31,IF(C474="B",3.98,IF(C474="C",2.51,IF(C474="D",1.59,IF(C474="D-",1,""))))))</f>
        <v>6.31</v>
      </c>
      <c r="K474" s="12">
        <f>IF(E474="A+",10,IF(E474="A",6.31,IF(E474="B",3.98,IF(E474="C",2.51,IF(E474="D",1.59,IF(E474="D-",1,""))))))</f>
        <v>2.5099999999999998</v>
      </c>
      <c r="L474" s="12">
        <f>IF(G474="A+",10,IF(G474="A",6.31,IF(G474="B",3.98,IF(G474="C",2.51,IF(G474="D",1.59,IF(G474="D-",1,""))))))</f>
        <v>3.98</v>
      </c>
      <c r="M474" s="13">
        <f>IF(ISNUMBER(J474),J474/(J474+K474+L474),"")</f>
        <v>0.49296874999999996</v>
      </c>
      <c r="N474" s="14">
        <f>IF(ISNUMBER(M474),I474*(1+(1-M474)*0.475),"")</f>
        <v>86.858789062499994</v>
      </c>
    </row>
    <row r="475" spans="1:14" x14ac:dyDescent="0.25">
      <c r="A475" s="11"/>
      <c r="B475" s="10">
        <v>1906</v>
      </c>
      <c r="C475" s="10" t="s">
        <v>136</v>
      </c>
      <c r="D475" s="11" t="s">
        <v>128</v>
      </c>
      <c r="E475" s="10" t="s">
        <v>137</v>
      </c>
      <c r="F475" s="11" t="s">
        <v>129</v>
      </c>
      <c r="G475" s="10" t="s">
        <v>139</v>
      </c>
      <c r="H475" s="11" t="s">
        <v>131</v>
      </c>
      <c r="I475" s="11">
        <v>68</v>
      </c>
      <c r="J475" s="12">
        <f>IF(C475="A+",10,IF(C475="A",6.31,IF(C475="B",3.98,IF(C475="C",2.51,IF(C475="D",1.59,IF(C475="D-",1,""))))))</f>
        <v>6.31</v>
      </c>
      <c r="K475" s="12">
        <f>IF(E475="A+",10,IF(E475="A",6.31,IF(E475="B",3.98,IF(E475="C",2.51,IF(E475="D",1.59,IF(E475="D-",1,""))))))</f>
        <v>2.5099999999999998</v>
      </c>
      <c r="L475" s="12">
        <f>IF(G475="A+",10,IF(G475="A",6.31,IF(G475="B",3.98,IF(G475="C",2.51,IF(G475="D",1.59,IF(G475="D-",1,""))))))</f>
        <v>1</v>
      </c>
      <c r="M475" s="13">
        <f>IF(ISNUMBER(J475),J475/(J475+K475+L475),"")</f>
        <v>0.64256619144602845</v>
      </c>
      <c r="N475" s="14">
        <f>IF(ISNUMBER(M475),I475*(1+(1-M475)*0.475),"")</f>
        <v>79.545112016293288</v>
      </c>
    </row>
    <row r="476" spans="1:14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9" t="s">
        <v>17</v>
      </c>
      <c r="N476" s="15">
        <f>IF(ISNUMBER(M475),AVERAGE(N474:N475),"")</f>
        <v>83.201950539396648</v>
      </c>
    </row>
    <row r="477" spans="1:14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9" t="s">
        <v>18</v>
      </c>
      <c r="N477" s="15">
        <f>IF(ISNUMBER(N476),(N476-69.8)*(113/118),"")</f>
        <v>12.834071279252726</v>
      </c>
    </row>
    <row r="479" spans="1:14" x14ac:dyDescent="0.25">
      <c r="A479" s="11" t="s">
        <v>129</v>
      </c>
      <c r="B479" s="10">
        <v>1808</v>
      </c>
      <c r="C479" s="10" t="s">
        <v>137</v>
      </c>
      <c r="D479" s="11" t="s">
        <v>129</v>
      </c>
      <c r="E479" s="10" t="s">
        <v>136</v>
      </c>
      <c r="F479" s="11" t="s">
        <v>128</v>
      </c>
      <c r="G479" s="10" t="s">
        <v>135</v>
      </c>
      <c r="H479" s="11" t="s">
        <v>130</v>
      </c>
      <c r="I479" s="11">
        <v>70</v>
      </c>
      <c r="J479" s="12">
        <f>IF(C479="A+",10,IF(C479="A",6.31,IF(C479="B",3.98,IF(C479="C",2.51,IF(C479="D",1.59,IF(C479="D-",1,""))))))</f>
        <v>2.5099999999999998</v>
      </c>
      <c r="K479" s="12">
        <f>IF(E479="A+",10,IF(E479="A",6.31,IF(E479="B",3.98,IF(E479="C",2.51,IF(E479="D",1.59,IF(E479="D-",1,""))))))</f>
        <v>6.31</v>
      </c>
      <c r="L479" s="12">
        <f>IF(G479="A+",10,IF(G479="A",6.31,IF(G479="B",3.98,IF(G479="C",2.51,IF(G479="D",1.59,IF(G479="D-",1,""))))))</f>
        <v>3.98</v>
      </c>
      <c r="M479" s="13">
        <f>IF(ISNUMBER(J479),J479/(J479+K479+L479),"")</f>
        <v>0.19609374999999998</v>
      </c>
      <c r="N479" s="14">
        <f>IF(ISNUMBER(M479),I479*(1+(1-M479)*0.475),"")</f>
        <v>96.729882812499994</v>
      </c>
    </row>
    <row r="480" spans="1:14" x14ac:dyDescent="0.25">
      <c r="A480" s="11"/>
      <c r="B480" s="10">
        <v>1906</v>
      </c>
      <c r="C480" s="10" t="s">
        <v>137</v>
      </c>
      <c r="D480" s="11" t="s">
        <v>129</v>
      </c>
      <c r="E480" s="10" t="s">
        <v>136</v>
      </c>
      <c r="F480" s="11" t="s">
        <v>128</v>
      </c>
      <c r="G480" s="10" t="s">
        <v>139</v>
      </c>
      <c r="H480" s="11" t="s">
        <v>131</v>
      </c>
      <c r="I480" s="11">
        <v>68</v>
      </c>
      <c r="J480" s="12">
        <f>IF(C480="A+",10,IF(C480="A",6.31,IF(C480="B",3.98,IF(C480="C",2.51,IF(C480="D",1.59,IF(C480="D-",1,""))))))</f>
        <v>2.5099999999999998</v>
      </c>
      <c r="K480" s="12">
        <f>IF(E480="A+",10,IF(E480="A",6.31,IF(E480="B",3.98,IF(E480="C",2.51,IF(E480="D",1.59,IF(E480="D-",1,""))))))</f>
        <v>6.31</v>
      </c>
      <c r="L480" s="12">
        <f>IF(G480="A+",10,IF(G480="A",6.31,IF(G480="B",3.98,IF(G480="C",2.51,IF(G480="D",1.59,IF(G480="D-",1,""))))))</f>
        <v>1</v>
      </c>
      <c r="M480" s="13">
        <f>IF(ISNUMBER(J480),J480/(J480+K480+L480),"")</f>
        <v>0.25560081466395107</v>
      </c>
      <c r="N480" s="14">
        <f>IF(ISNUMBER(M480),I480*(1+(1-M480)*0.475),"")</f>
        <v>92.044093686354373</v>
      </c>
    </row>
    <row r="481" spans="1:14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9" t="s">
        <v>17</v>
      </c>
      <c r="N481" s="15">
        <f>IF(ISNUMBER(M480),AVERAGE(N479:N480),"")</f>
        <v>94.386988249427191</v>
      </c>
    </row>
    <row r="482" spans="1:14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9" t="s">
        <v>18</v>
      </c>
      <c r="N482" s="15">
        <f>IF(ISNUMBER(N481),(N481-69.8)*(113/118),"")</f>
        <v>23.545166713434515</v>
      </c>
    </row>
    <row r="484" spans="1:14" x14ac:dyDescent="0.25">
      <c r="A484" s="11" t="s">
        <v>131</v>
      </c>
      <c r="B484" s="10">
        <v>1906</v>
      </c>
      <c r="C484" s="10" t="s">
        <v>139</v>
      </c>
      <c r="D484" s="11" t="s">
        <v>131</v>
      </c>
      <c r="E484" s="10" t="s">
        <v>136</v>
      </c>
      <c r="F484" s="11" t="s">
        <v>128</v>
      </c>
      <c r="G484" s="10" t="s">
        <v>137</v>
      </c>
      <c r="H484" s="11" t="s">
        <v>129</v>
      </c>
      <c r="I484" s="11">
        <v>68</v>
      </c>
      <c r="J484" s="12">
        <f>IF(C484="A+",10,IF(C484="A",6.31,IF(C484="B",3.98,IF(C484="C",2.51,IF(C484="D",1.59,IF(C484="D-",1,""))))))</f>
        <v>1</v>
      </c>
      <c r="K484" s="12">
        <f>IF(E484="A+",10,IF(E484="A",6.31,IF(E484="B",3.98,IF(E484="C",2.51,IF(E484="D",1.59,IF(E484="D-",1,""))))))</f>
        <v>6.31</v>
      </c>
      <c r="L484" s="12">
        <f>IF(G484="A+",10,IF(G484="A",6.31,IF(G484="B",3.98,IF(G484="C",2.51,IF(G484="D",1.59,IF(G484="D-",1,""))))))</f>
        <v>2.5099999999999998</v>
      </c>
      <c r="M484" s="13">
        <f>IF(ISNUMBER(J484),J484/(J484+K484+L484),"")</f>
        <v>0.10183299389002036</v>
      </c>
      <c r="N484" s="14">
        <f>IF(ISNUMBER(M484),I484*(1+(1-M484)*0.475),"")</f>
        <v>97.010794297352348</v>
      </c>
    </row>
    <row r="485" spans="1:14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9" t="s">
        <v>17</v>
      </c>
      <c r="N485" s="15">
        <f>IF(ISNUMBER(M484),AVERAGE(N484:N484),"")</f>
        <v>97.010794297352348</v>
      </c>
    </row>
    <row r="486" spans="1:14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9" t="s">
        <v>18</v>
      </c>
      <c r="N486" s="15">
        <f>IF(ISNUMBER(N485),(N485-69.8)*(113/118),"")</f>
        <v>26.057794538989963</v>
      </c>
    </row>
    <row r="488" spans="1:14" x14ac:dyDescent="0.25">
      <c r="A488" s="11" t="s">
        <v>130</v>
      </c>
      <c r="B488" s="10">
        <v>1808</v>
      </c>
      <c r="C488" s="10" t="s">
        <v>135</v>
      </c>
      <c r="D488" s="11" t="s">
        <v>130</v>
      </c>
      <c r="E488" s="10" t="s">
        <v>136</v>
      </c>
      <c r="F488" s="11" t="s">
        <v>128</v>
      </c>
      <c r="G488" s="10" t="s">
        <v>137</v>
      </c>
      <c r="H488" s="11" t="s">
        <v>129</v>
      </c>
      <c r="I488" s="11">
        <v>70</v>
      </c>
      <c r="J488" s="12">
        <f>IF(C488="A+",10,IF(C488="A",6.31,IF(C488="B",3.98,IF(C488="C",2.51,IF(C488="D",1.59,IF(C488="D-",1,""))))))</f>
        <v>3.98</v>
      </c>
      <c r="K488" s="12">
        <f>IF(E488="A+",10,IF(E488="A",6.31,IF(E488="B",3.98,IF(E488="C",2.51,IF(E488="D",1.59,IF(E488="D-",1,""))))))</f>
        <v>6.31</v>
      </c>
      <c r="L488" s="12">
        <f>IF(G488="A+",10,IF(G488="A",6.31,IF(G488="B",3.98,IF(G488="C",2.51,IF(G488="D",1.59,IF(G488="D-",1,""))))))</f>
        <v>2.5099999999999998</v>
      </c>
      <c r="M488" s="13">
        <f>IF(ISNUMBER(J488),J488/(J488+K488+L488),"")</f>
        <v>0.31093750000000003</v>
      </c>
      <c r="N488" s="14">
        <f>IF(ISNUMBER(M488),I488*(1+(1-M488)*0.475),"")</f>
        <v>92.911328124999983</v>
      </c>
    </row>
    <row r="489" spans="1:14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9" t="s">
        <v>17</v>
      </c>
      <c r="N489" s="15">
        <f>IF(ISNUMBER(M488),AVERAGE(N488:N488),"")</f>
        <v>92.911328124999983</v>
      </c>
    </row>
    <row r="490" spans="1:14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9" t="s">
        <v>18</v>
      </c>
      <c r="N490" s="15">
        <f>IF(ISNUMBER(N489),(N489-69.8)*(113/118),"")</f>
        <v>22.132034560381342</v>
      </c>
    </row>
    <row r="492" spans="1:14" x14ac:dyDescent="0.25">
      <c r="A492" s="2" t="s">
        <v>43</v>
      </c>
      <c r="B492" s="4">
        <v>1505</v>
      </c>
      <c r="C492" s="4"/>
      <c r="D492" s="2" t="s">
        <v>43</v>
      </c>
      <c r="E492" s="4"/>
      <c r="F492" s="2" t="s">
        <v>42</v>
      </c>
      <c r="G492" s="4"/>
      <c r="H492" s="2" t="s">
        <v>44</v>
      </c>
      <c r="I492" s="2">
        <v>58</v>
      </c>
      <c r="J492" s="5" t="str">
        <f>IF(C492="A+",10,IF(C492="A",6.31,IF(C492="B",3.98,IF(C492="C",2.51,IF(C492="D",1.59,IF(C492="D-",1,""))))))</f>
        <v/>
      </c>
      <c r="K492" s="5" t="str">
        <f>IF(E492="A+",10,IF(E492="A",6.31,IF(E492="B",3.98,IF(E492="C",2.51,IF(E492="D",1.59,IF(E492="D-",1,""))))))</f>
        <v/>
      </c>
      <c r="L492" s="5" t="str">
        <f>IF(G492="A+",10,IF(G492="A",6.31,IF(G492="B",3.98,IF(G492="C",2.51,IF(G492="D",1.59,IF(G492="D-",1,""))))))</f>
        <v/>
      </c>
      <c r="M492" s="6" t="str">
        <f>IF(ISNUMBER(J492),J492/(J492+K492+L492),"")</f>
        <v/>
      </c>
      <c r="N492" s="7" t="str">
        <f>IF(ISNUMBER(M492),I492*(1+(1-M492)*0.475),"")</f>
        <v/>
      </c>
    </row>
    <row r="493" spans="1:14" x14ac:dyDescent="0.25">
      <c r="M493" s="3" t="s">
        <v>17</v>
      </c>
      <c r="N493" s="8" t="str">
        <f>IF(ISNUMBER(M492),AVERAGE(N492:N492),"")</f>
        <v/>
      </c>
    </row>
    <row r="494" spans="1:14" x14ac:dyDescent="0.25">
      <c r="M494" s="3" t="s">
        <v>18</v>
      </c>
      <c r="N494" s="8" t="str">
        <f>IF(ISNUMBER(N493),(N493-69.8)*(113/118),"")</f>
        <v/>
      </c>
    </row>
    <row r="496" spans="1:14" x14ac:dyDescent="0.25">
      <c r="A496" s="2" t="s">
        <v>28</v>
      </c>
      <c r="B496" s="4">
        <v>1505</v>
      </c>
      <c r="C496" s="4"/>
      <c r="D496" s="2" t="s">
        <v>28</v>
      </c>
      <c r="E496" s="4"/>
      <c r="F496" s="2" t="s">
        <v>26</v>
      </c>
      <c r="G496" s="4"/>
      <c r="H496" s="2" t="s">
        <v>27</v>
      </c>
      <c r="I496" s="2">
        <v>79</v>
      </c>
      <c r="J496" s="5" t="str">
        <f t="shared" ref="J496:J501" si="54">IF(C496="A+",10,IF(C496="A",6.31,IF(C496="B",3.98,IF(C496="C",2.51,IF(C496="D",1.59,IF(C496="D-",1,""))))))</f>
        <v/>
      </c>
      <c r="K496" s="5" t="str">
        <f t="shared" ref="K496:K501" si="55">IF(E496="A+",10,IF(E496="A",6.31,IF(E496="B",3.98,IF(E496="C",2.51,IF(E496="D",1.59,IF(E496="D-",1,""))))))</f>
        <v/>
      </c>
      <c r="L496" s="5" t="str">
        <f t="shared" ref="L496:L501" si="56">IF(G496="A+",10,IF(G496="A",6.31,IF(G496="B",3.98,IF(G496="C",2.51,IF(G496="D",1.59,IF(G496="D-",1,""))))))</f>
        <v/>
      </c>
      <c r="M496" s="6" t="str">
        <f t="shared" ref="M496:M501" si="57">IF(ISNUMBER(J496),J496/(J496+K496+L496),"")</f>
        <v/>
      </c>
      <c r="N496" s="7" t="str">
        <f t="shared" ref="N496:N501" si="58">IF(ISNUMBER(M496),I496*(1+(1-M496)*0.475),"")</f>
        <v/>
      </c>
    </row>
    <row r="497" spans="1:14" x14ac:dyDescent="0.25">
      <c r="B497" s="4">
        <v>1508</v>
      </c>
      <c r="C497" s="4"/>
      <c r="D497" s="2" t="s">
        <v>28</v>
      </c>
      <c r="E497" s="4"/>
      <c r="F497" s="2" t="s">
        <v>26</v>
      </c>
      <c r="G497" s="4"/>
      <c r="H497" s="2" t="s">
        <v>29</v>
      </c>
      <c r="I497" s="2">
        <v>69</v>
      </c>
      <c r="J497" s="5" t="str">
        <f t="shared" si="54"/>
        <v/>
      </c>
      <c r="K497" s="5" t="str">
        <f t="shared" si="55"/>
        <v/>
      </c>
      <c r="L497" s="5" t="str">
        <f t="shared" si="56"/>
        <v/>
      </c>
      <c r="M497" s="6" t="str">
        <f t="shared" si="57"/>
        <v/>
      </c>
      <c r="N497" s="7" t="str">
        <f t="shared" si="58"/>
        <v/>
      </c>
    </row>
    <row r="498" spans="1:14" x14ac:dyDescent="0.25">
      <c r="B498" s="4">
        <v>1608</v>
      </c>
      <c r="C498" s="4"/>
      <c r="D498" s="2" t="s">
        <v>28</v>
      </c>
      <c r="E498" s="4"/>
      <c r="F498" s="2" t="s">
        <v>26</v>
      </c>
      <c r="G498" s="4"/>
      <c r="H498" s="2" t="s">
        <v>29</v>
      </c>
      <c r="I498" s="2">
        <v>71</v>
      </c>
      <c r="J498" s="5" t="str">
        <f t="shared" si="54"/>
        <v/>
      </c>
      <c r="K498" s="5" t="str">
        <f t="shared" si="55"/>
        <v/>
      </c>
      <c r="L498" s="5" t="str">
        <f t="shared" si="56"/>
        <v/>
      </c>
      <c r="M498" s="6" t="str">
        <f t="shared" si="57"/>
        <v/>
      </c>
      <c r="N498" s="7" t="str">
        <f t="shared" si="58"/>
        <v/>
      </c>
    </row>
    <row r="499" spans="1:14" x14ac:dyDescent="0.25">
      <c r="B499" s="4">
        <v>1705</v>
      </c>
      <c r="C499" s="4"/>
      <c r="D499" s="2" t="s">
        <v>28</v>
      </c>
      <c r="E499" s="4"/>
      <c r="F499" s="2" t="s">
        <v>26</v>
      </c>
      <c r="G499" s="4"/>
      <c r="H499" s="2" t="s">
        <v>29</v>
      </c>
      <c r="I499" s="2">
        <v>70</v>
      </c>
      <c r="J499" s="5" t="str">
        <f t="shared" si="54"/>
        <v/>
      </c>
      <c r="K499" s="5" t="str">
        <f t="shared" si="55"/>
        <v/>
      </c>
      <c r="L499" s="5" t="str">
        <f t="shared" si="56"/>
        <v/>
      </c>
      <c r="M499" s="6" t="str">
        <f t="shared" si="57"/>
        <v/>
      </c>
      <c r="N499" s="7" t="str">
        <f t="shared" si="58"/>
        <v/>
      </c>
    </row>
    <row r="500" spans="1:14" x14ac:dyDescent="0.25">
      <c r="B500" s="4">
        <v>1805</v>
      </c>
      <c r="C500" s="4"/>
      <c r="D500" s="2" t="s">
        <v>28</v>
      </c>
      <c r="E500" s="4"/>
      <c r="F500" s="2" t="s">
        <v>26</v>
      </c>
      <c r="G500" s="4"/>
      <c r="H500" s="2" t="s">
        <v>30</v>
      </c>
      <c r="I500" s="2">
        <v>72</v>
      </c>
      <c r="J500" s="5" t="str">
        <f t="shared" si="54"/>
        <v/>
      </c>
      <c r="K500" s="5" t="str">
        <f t="shared" si="55"/>
        <v/>
      </c>
      <c r="L500" s="5" t="str">
        <f t="shared" si="56"/>
        <v/>
      </c>
      <c r="M500" s="6" t="str">
        <f t="shared" si="57"/>
        <v/>
      </c>
      <c r="N500" s="7" t="str">
        <f t="shared" si="58"/>
        <v/>
      </c>
    </row>
    <row r="501" spans="1:14" x14ac:dyDescent="0.25">
      <c r="B501" s="4">
        <v>1808</v>
      </c>
      <c r="C501" s="4"/>
      <c r="D501" s="2" t="s">
        <v>28</v>
      </c>
      <c r="E501" s="4"/>
      <c r="F501" s="2" t="s">
        <v>26</v>
      </c>
      <c r="G501" s="4"/>
      <c r="H501" s="2" t="s">
        <v>29</v>
      </c>
      <c r="I501" s="2">
        <v>73</v>
      </c>
      <c r="J501" s="5" t="str">
        <f t="shared" si="54"/>
        <v/>
      </c>
      <c r="K501" s="5" t="str">
        <f t="shared" si="55"/>
        <v/>
      </c>
      <c r="L501" s="5" t="str">
        <f t="shared" si="56"/>
        <v/>
      </c>
      <c r="M501" s="6" t="str">
        <f t="shared" si="57"/>
        <v/>
      </c>
      <c r="N501" s="7" t="str">
        <f t="shared" si="58"/>
        <v/>
      </c>
    </row>
    <row r="502" spans="1:14" x14ac:dyDescent="0.25">
      <c r="M502" s="3" t="s">
        <v>17</v>
      </c>
      <c r="N502" s="8" t="str">
        <f>IF(ISNUMBER(M501),AVERAGE(N496:N501),"")</f>
        <v/>
      </c>
    </row>
    <row r="503" spans="1:14" x14ac:dyDescent="0.25">
      <c r="M503" s="3" t="s">
        <v>18</v>
      </c>
      <c r="N503" s="8" t="str">
        <f>IF(ISNUMBER(N502),(N502-69.8)*(113/118),"")</f>
        <v/>
      </c>
    </row>
    <row r="505" spans="1:14" x14ac:dyDescent="0.25">
      <c r="A505" s="2" t="s">
        <v>69</v>
      </c>
      <c r="B505" s="4">
        <v>1805</v>
      </c>
      <c r="C505" s="4"/>
      <c r="D505" s="2" t="s">
        <v>69</v>
      </c>
      <c r="E505" s="4"/>
      <c r="F505" s="2" t="s">
        <v>65</v>
      </c>
      <c r="G505" s="4"/>
      <c r="H505" s="2" t="s">
        <v>67</v>
      </c>
      <c r="I505" s="2">
        <v>75</v>
      </c>
      <c r="J505" s="5" t="str">
        <f>IF(C505="A+",10,IF(C505="A",6.31,IF(C505="B",3.98,IF(C505="C",2.51,IF(C505="D",1.59,IF(C505="D-",1,""))))))</f>
        <v/>
      </c>
      <c r="K505" s="5" t="str">
        <f>IF(E505="A+",10,IF(E505="A",6.31,IF(E505="B",3.98,IF(E505="C",2.51,IF(E505="D",1.59,IF(E505="D-",1,""))))))</f>
        <v/>
      </c>
      <c r="L505" s="5" t="str">
        <f>IF(G505="A+",10,IF(G505="A",6.31,IF(G505="B",3.98,IF(G505="C",2.51,IF(G505="D",1.59,IF(G505="D-",1,""))))))</f>
        <v/>
      </c>
      <c r="M505" s="6" t="str">
        <f>IF(ISNUMBER(J505),J505/(J505+K505+L505),"")</f>
        <v/>
      </c>
      <c r="N505" s="7" t="str">
        <f>IF(ISNUMBER(M505),I505*(1+(1-M505)*0.475),"")</f>
        <v/>
      </c>
    </row>
    <row r="506" spans="1:14" x14ac:dyDescent="0.25">
      <c r="M506" s="3" t="s">
        <v>17</v>
      </c>
      <c r="N506" s="8" t="str">
        <f>IF(ISNUMBER(M505),AVERAGE(N505:N505),"")</f>
        <v/>
      </c>
    </row>
    <row r="507" spans="1:14" x14ac:dyDescent="0.25">
      <c r="M507" s="3" t="s">
        <v>18</v>
      </c>
      <c r="N507" s="8" t="str">
        <f>IF(ISNUMBER(N506),(N506-69.8)*(113/118),"")</f>
        <v/>
      </c>
    </row>
    <row r="509" spans="1:14" x14ac:dyDescent="0.25">
      <c r="A509" s="2" t="s">
        <v>90</v>
      </c>
      <c r="B509" s="4">
        <v>1505</v>
      </c>
      <c r="C509" s="4"/>
      <c r="D509" s="2" t="s">
        <v>90</v>
      </c>
      <c r="E509" s="4"/>
      <c r="F509" s="2" t="s">
        <v>88</v>
      </c>
      <c r="G509" s="4"/>
      <c r="H509" s="2" t="s">
        <v>89</v>
      </c>
      <c r="I509" s="2">
        <v>67</v>
      </c>
      <c r="J509" s="5" t="str">
        <f>IF(C509="A+",10,IF(C509="A",6.31,IF(C509="B",3.98,IF(C509="C",2.51,IF(C509="D",1.59,IF(C509="D-",1,""))))))</f>
        <v/>
      </c>
      <c r="K509" s="5" t="str">
        <f>IF(E509="A+",10,IF(E509="A",6.31,IF(E509="B",3.98,IF(E509="C",2.51,IF(E509="D",1.59,IF(E509="D-",1,""))))))</f>
        <v/>
      </c>
      <c r="L509" s="5" t="str">
        <f>IF(G509="A+",10,IF(G509="A",6.31,IF(G509="B",3.98,IF(G509="C",2.51,IF(G509="D",1.59,IF(G509="D-",1,""))))))</f>
        <v/>
      </c>
      <c r="M509" s="6" t="str">
        <f>IF(ISNUMBER(J509),J509/(J509+K509+L509),"")</f>
        <v/>
      </c>
      <c r="N509" s="7" t="str">
        <f>IF(ISNUMBER(M509),I509*(1+(1-M509)*0.475),"")</f>
        <v/>
      </c>
    </row>
    <row r="510" spans="1:14" x14ac:dyDescent="0.25">
      <c r="B510" s="4">
        <v>1508</v>
      </c>
      <c r="C510" s="4"/>
      <c r="D510" s="2" t="s">
        <v>90</v>
      </c>
      <c r="E510" s="4"/>
      <c r="F510" s="2" t="s">
        <v>88</v>
      </c>
      <c r="G510" s="4"/>
      <c r="H510" s="2" t="s">
        <v>89</v>
      </c>
      <c r="I510" s="2">
        <v>64</v>
      </c>
      <c r="J510" s="5" t="str">
        <f>IF(C510="A+",10,IF(C510="A",6.31,IF(C510="B",3.98,IF(C510="C",2.51,IF(C510="D",1.59,IF(C510="D-",1,""))))))</f>
        <v/>
      </c>
      <c r="K510" s="5" t="str">
        <f>IF(E510="A+",10,IF(E510="A",6.31,IF(E510="B",3.98,IF(E510="C",2.51,IF(E510="D",1.59,IF(E510="D-",1,""))))))</f>
        <v/>
      </c>
      <c r="L510" s="5" t="str">
        <f>IF(G510="A+",10,IF(G510="A",6.31,IF(G510="B",3.98,IF(G510="C",2.51,IF(G510="D",1.59,IF(G510="D-",1,""))))))</f>
        <v/>
      </c>
      <c r="M510" s="6" t="str">
        <f>IF(ISNUMBER(J510),J510/(J510+K510+L510),"")</f>
        <v/>
      </c>
      <c r="N510" s="7" t="str">
        <f>IF(ISNUMBER(M510),I510*(1+(1-M510)*0.475),"")</f>
        <v/>
      </c>
    </row>
    <row r="511" spans="1:14" x14ac:dyDescent="0.25">
      <c r="M511" s="3" t="s">
        <v>17</v>
      </c>
      <c r="N511" s="8" t="str">
        <f>IF(ISNUMBER(M510),AVERAGE(N509:N510),"")</f>
        <v/>
      </c>
    </row>
    <row r="512" spans="1:14" x14ac:dyDescent="0.25">
      <c r="M512" s="3" t="s">
        <v>18</v>
      </c>
      <c r="N512" s="8" t="str">
        <f>IF(ISNUMBER(N511),(N511-69.8)*(113/118),"")</f>
        <v/>
      </c>
    </row>
    <row r="514" spans="1:14" x14ac:dyDescent="0.25">
      <c r="A514" s="2" t="s">
        <v>101</v>
      </c>
      <c r="B514" s="4">
        <v>1608</v>
      </c>
      <c r="C514" s="4"/>
      <c r="D514" s="2" t="s">
        <v>101</v>
      </c>
      <c r="E514" s="4"/>
      <c r="F514" s="2" t="s">
        <v>55</v>
      </c>
      <c r="G514" s="4"/>
      <c r="H514" s="2" t="s">
        <v>102</v>
      </c>
      <c r="I514" s="2">
        <v>64</v>
      </c>
      <c r="J514" s="5" t="str">
        <f>IF(C514="A+",10,IF(C514="A",6.31,IF(C514="B",3.98,IF(C514="C",2.51,IF(C514="D",1.59,IF(C514="D-",1,""))))))</f>
        <v/>
      </c>
      <c r="K514" s="5" t="str">
        <f>IF(E514="A+",10,IF(E514="A",6.31,IF(E514="B",3.98,IF(E514="C",2.51,IF(E514="D",1.59,IF(E514="D-",1,""))))))</f>
        <v/>
      </c>
      <c r="L514" s="5" t="str">
        <f>IF(G514="A+",10,IF(G514="A",6.31,IF(G514="B",3.98,IF(G514="C",2.51,IF(G514="D",1.59,IF(G514="D-",1,""))))))</f>
        <v/>
      </c>
      <c r="M514" s="6" t="str">
        <f>IF(ISNUMBER(J514),J514/(J514+K514+L514),"")</f>
        <v/>
      </c>
      <c r="N514" s="7" t="str">
        <f>IF(ISNUMBER(M514),I514*(1+(1-M514)*0.475),"")</f>
        <v/>
      </c>
    </row>
    <row r="515" spans="1:14" x14ac:dyDescent="0.25">
      <c r="B515" s="4">
        <v>1805</v>
      </c>
      <c r="C515" s="4"/>
      <c r="D515" s="2" t="s">
        <v>101</v>
      </c>
      <c r="E515" s="4"/>
      <c r="F515" s="2" t="s">
        <v>99</v>
      </c>
      <c r="G515" s="4"/>
      <c r="H515" s="2" t="s">
        <v>102</v>
      </c>
      <c r="I515" s="2">
        <v>64</v>
      </c>
      <c r="J515" s="5" t="str">
        <f>IF(C515="A+",10,IF(C515="A",6.31,IF(C515="B",3.98,IF(C515="C",2.51,IF(C515="D",1.59,IF(C515="D-",1,""))))))</f>
        <v/>
      </c>
      <c r="K515" s="5" t="str">
        <f>IF(E515="A+",10,IF(E515="A",6.31,IF(E515="B",3.98,IF(E515="C",2.51,IF(E515="D",1.59,IF(E515="D-",1,""))))))</f>
        <v/>
      </c>
      <c r="L515" s="5" t="str">
        <f>IF(G515="A+",10,IF(G515="A",6.31,IF(G515="B",3.98,IF(G515="C",2.51,IF(G515="D",1.59,IF(G515="D-",1,""))))))</f>
        <v/>
      </c>
      <c r="M515" s="6" t="str">
        <f>IF(ISNUMBER(J515),J515/(J515+K515+L515),"")</f>
        <v/>
      </c>
      <c r="N515" s="7" t="str">
        <f>IF(ISNUMBER(M515),I515*(1+(1-M515)*0.475),"")</f>
        <v/>
      </c>
    </row>
    <row r="516" spans="1:14" x14ac:dyDescent="0.25">
      <c r="M516" s="3" t="s">
        <v>17</v>
      </c>
      <c r="N516" s="8" t="str">
        <f>IF(ISNUMBER(M515),AVERAGE(N514:N515),"")</f>
        <v/>
      </c>
    </row>
    <row r="517" spans="1:14" x14ac:dyDescent="0.25">
      <c r="M517" s="3" t="s">
        <v>18</v>
      </c>
      <c r="N517" s="8" t="str">
        <f>IF(ISNUMBER(N516),(N516-69.8)*(113/118),"")</f>
        <v/>
      </c>
    </row>
    <row r="519" spans="1:14" x14ac:dyDescent="0.25">
      <c r="A519" s="2" t="s">
        <v>98</v>
      </c>
      <c r="B519" s="4">
        <v>1505</v>
      </c>
      <c r="C519" s="4"/>
      <c r="D519" s="2" t="s">
        <v>98</v>
      </c>
      <c r="E519" s="4"/>
      <c r="F519" s="2" t="s">
        <v>22</v>
      </c>
      <c r="G519" s="4"/>
      <c r="H519" s="2" t="s">
        <v>111</v>
      </c>
      <c r="I519" s="2">
        <v>73</v>
      </c>
      <c r="J519" s="5" t="str">
        <f>IF(C519="A+",10,IF(C519="A",6.31,IF(C519="B",3.98,IF(C519="C",2.51,IF(C519="D",1.59,IF(C519="D-",1,""))))))</f>
        <v/>
      </c>
      <c r="K519" s="5" t="str">
        <f>IF(E519="A+",10,IF(E519="A",6.31,IF(E519="B",3.98,IF(E519="C",2.51,IF(E519="D",1.59,IF(E519="D-",1,""))))))</f>
        <v/>
      </c>
      <c r="L519" s="5" t="str">
        <f>IF(G519="A+",10,IF(G519="A",6.31,IF(G519="B",3.98,IF(G519="C",2.51,IF(G519="D",1.59,IF(G519="D-",1,""))))))</f>
        <v/>
      </c>
      <c r="M519" s="6" t="str">
        <f>IF(ISNUMBER(J519),J519/(J519+K519+L519),"")</f>
        <v/>
      </c>
      <c r="N519" s="7" t="str">
        <f>IF(ISNUMBER(M519),I519*(1+(1-M519)*0.475),"")</f>
        <v/>
      </c>
    </row>
    <row r="520" spans="1:14" x14ac:dyDescent="0.25">
      <c r="B520" s="4">
        <v>1508</v>
      </c>
      <c r="C520" s="4"/>
      <c r="D520" s="2" t="s">
        <v>98</v>
      </c>
      <c r="E520" s="4"/>
      <c r="F520" s="2" t="s">
        <v>47</v>
      </c>
      <c r="G520" s="4"/>
      <c r="H520" s="2" t="s">
        <v>22</v>
      </c>
      <c r="I520" s="2">
        <v>86</v>
      </c>
      <c r="J520" s="5" t="str">
        <f>IF(C520="A+",10,IF(C520="A",6.31,IF(C520="B",3.98,IF(C520="C",2.51,IF(C520="D",1.59,IF(C520="D-",1,""))))))</f>
        <v/>
      </c>
      <c r="K520" s="5" t="str">
        <f>IF(E520="A+",10,IF(E520="A",6.31,IF(E520="B",3.98,IF(E520="C",2.51,IF(E520="D",1.59,IF(E520="D-",1,""))))))</f>
        <v/>
      </c>
      <c r="L520" s="5" t="str">
        <f>IF(G520="A+",10,IF(G520="A",6.31,IF(G520="B",3.98,IF(G520="C",2.51,IF(G520="D",1.59,IF(G520="D-",1,""))))))</f>
        <v/>
      </c>
      <c r="M520" s="6" t="str">
        <f>IF(ISNUMBER(J520),J520/(J520+K520+L520),"")</f>
        <v/>
      </c>
      <c r="N520" s="7" t="str">
        <f>IF(ISNUMBER(M520),I520*(1+(1-M520)*0.475),"")</f>
        <v/>
      </c>
    </row>
    <row r="521" spans="1:14" x14ac:dyDescent="0.25">
      <c r="M521" s="3" t="s">
        <v>17</v>
      </c>
      <c r="N521" s="8" t="str">
        <f>IF(ISNUMBER(M520),AVERAGE(N519:N520),"")</f>
        <v/>
      </c>
    </row>
    <row r="522" spans="1:14" x14ac:dyDescent="0.25">
      <c r="M522" s="3" t="s">
        <v>18</v>
      </c>
      <c r="N522" s="8" t="str">
        <f>IF(ISNUMBER(N521),(N521-69.8)*(113/118),"")</f>
        <v/>
      </c>
    </row>
    <row r="524" spans="1:14" x14ac:dyDescent="0.25">
      <c r="A524" s="2" t="s">
        <v>66</v>
      </c>
      <c r="B524" s="4">
        <v>1505</v>
      </c>
      <c r="C524" s="4"/>
      <c r="D524" s="2" t="s">
        <v>66</v>
      </c>
      <c r="E524" s="4"/>
      <c r="F524" s="2" t="s">
        <v>68</v>
      </c>
      <c r="G524" s="4"/>
      <c r="H524" s="2" t="s">
        <v>67</v>
      </c>
      <c r="I524" s="2">
        <v>74</v>
      </c>
      <c r="J524" s="5" t="str">
        <f>IF(C524="A+",10,IF(C524="A",6.31,IF(C524="B",3.98,IF(C524="C",2.51,IF(C524="D",1.59,IF(C524="D-",1,""))))))</f>
        <v/>
      </c>
      <c r="K524" s="5" t="str">
        <f>IF(E524="A+",10,IF(E524="A",6.31,IF(E524="B",3.98,IF(E524="C",2.51,IF(E524="D",1.59,IF(E524="D-",1,""))))))</f>
        <v/>
      </c>
      <c r="L524" s="5" t="str">
        <f>IF(G524="A+",10,IF(G524="A",6.31,IF(G524="B",3.98,IF(G524="C",2.51,IF(G524="D",1.59,IF(G524="D-",1,""))))))</f>
        <v/>
      </c>
      <c r="M524" s="6" t="str">
        <f>IF(ISNUMBER(J524),J524/(J524+K524+L524),"")</f>
        <v/>
      </c>
      <c r="N524" s="7" t="str">
        <f>IF(ISNUMBER(M524),I524*(1+(1-M524)*0.475),"")</f>
        <v/>
      </c>
    </row>
    <row r="525" spans="1:14" x14ac:dyDescent="0.25">
      <c r="B525" s="4">
        <v>1508</v>
      </c>
      <c r="C525" s="4"/>
      <c r="D525" s="2" t="s">
        <v>66</v>
      </c>
      <c r="E525" s="4"/>
      <c r="F525" s="2" t="s">
        <v>65</v>
      </c>
      <c r="G525" s="4"/>
      <c r="H525" s="2" t="s">
        <v>67</v>
      </c>
      <c r="I525" s="2">
        <v>81</v>
      </c>
      <c r="J525" s="5" t="str">
        <f>IF(C525="A+",10,IF(C525="A",6.31,IF(C525="B",3.98,IF(C525="C",2.51,IF(C525="D",1.59,IF(C525="D-",1,""))))))</f>
        <v/>
      </c>
      <c r="K525" s="5" t="str">
        <f>IF(E525="A+",10,IF(E525="A",6.31,IF(E525="B",3.98,IF(E525="C",2.51,IF(E525="D",1.59,IF(E525="D-",1,""))))))</f>
        <v/>
      </c>
      <c r="L525" s="5" t="str">
        <f>IF(G525="A+",10,IF(G525="A",6.31,IF(G525="B",3.98,IF(G525="C",2.51,IF(G525="D",1.59,IF(G525="D-",1,""))))))</f>
        <v/>
      </c>
      <c r="M525" s="6" t="str">
        <f>IF(ISNUMBER(J525),J525/(J525+K525+L525),"")</f>
        <v/>
      </c>
      <c r="N525" s="7" t="str">
        <f>IF(ISNUMBER(M525),I525*(1+(1-M525)*0.475),"")</f>
        <v/>
      </c>
    </row>
    <row r="526" spans="1:14" x14ac:dyDescent="0.25">
      <c r="M526" s="3" t="s">
        <v>17</v>
      </c>
      <c r="N526" s="8" t="str">
        <f>IF(ISNUMBER(M525),AVERAGE(N524:N525),"")</f>
        <v/>
      </c>
    </row>
    <row r="527" spans="1:14" x14ac:dyDescent="0.25">
      <c r="M527" s="3" t="s">
        <v>18</v>
      </c>
      <c r="N527" s="8" t="str">
        <f>IF(ISNUMBER(N526),(N526-69.8)*(113/118),"")</f>
        <v/>
      </c>
    </row>
    <row r="529" spans="1:14" x14ac:dyDescent="0.25">
      <c r="A529" s="11" t="s">
        <v>67</v>
      </c>
      <c r="B529" s="10">
        <v>1505</v>
      </c>
      <c r="C529" s="10" t="s">
        <v>135</v>
      </c>
      <c r="D529" s="11" t="s">
        <v>67</v>
      </c>
      <c r="E529" s="10" t="s">
        <v>135</v>
      </c>
      <c r="F529" s="11" t="s">
        <v>68</v>
      </c>
      <c r="G529" s="10" t="s">
        <v>137</v>
      </c>
      <c r="H529" s="11" t="s">
        <v>66</v>
      </c>
      <c r="I529" s="11">
        <v>74</v>
      </c>
      <c r="J529" s="12">
        <f t="shared" ref="J529:J534" si="59">IF(C529="A+",10,IF(C529="A",6.31,IF(C529="B",3.98,IF(C529="C",2.51,IF(C529="D",1.59,IF(C529="D-",1,""))))))</f>
        <v>3.98</v>
      </c>
      <c r="K529" s="12">
        <f t="shared" ref="K529:K534" si="60">IF(E529="A+",10,IF(E529="A",6.31,IF(E529="B",3.98,IF(E529="C",2.51,IF(E529="D",1.59,IF(E529="D-",1,""))))))</f>
        <v>3.98</v>
      </c>
      <c r="L529" s="12">
        <f t="shared" ref="L529:L534" si="61">IF(G529="A+",10,IF(G529="A",6.31,IF(G529="B",3.98,IF(G529="C",2.51,IF(G529="D",1.59,IF(G529="D-",1,""))))))</f>
        <v>2.5099999999999998</v>
      </c>
      <c r="M529" s="13">
        <f t="shared" ref="M529:M534" si="62">IF(ISNUMBER(J529),J529/(J529+K529+L529),"")</f>
        <v>0.38013371537726842</v>
      </c>
      <c r="N529" s="14">
        <f t="shared" ref="N529:N534" si="63">IF(ISNUMBER(M529),I529*(1+(1-M529)*0.475),"")</f>
        <v>95.788299904489008</v>
      </c>
    </row>
    <row r="530" spans="1:14" x14ac:dyDescent="0.25">
      <c r="A530" s="11"/>
      <c r="B530" s="10">
        <v>1508</v>
      </c>
      <c r="C530" s="10" t="s">
        <v>135</v>
      </c>
      <c r="D530" s="11" t="s">
        <v>67</v>
      </c>
      <c r="E530" s="10" t="s">
        <v>137</v>
      </c>
      <c r="F530" s="11" t="s">
        <v>65</v>
      </c>
      <c r="G530" s="10" t="s">
        <v>137</v>
      </c>
      <c r="H530" s="11" t="s">
        <v>66</v>
      </c>
      <c r="I530" s="11">
        <v>81</v>
      </c>
      <c r="J530" s="12">
        <f t="shared" si="59"/>
        <v>3.98</v>
      </c>
      <c r="K530" s="12">
        <f t="shared" si="60"/>
        <v>2.5099999999999998</v>
      </c>
      <c r="L530" s="12">
        <f t="shared" si="61"/>
        <v>2.5099999999999998</v>
      </c>
      <c r="M530" s="13">
        <f t="shared" si="62"/>
        <v>0.44222222222222224</v>
      </c>
      <c r="N530" s="14">
        <f t="shared" si="63"/>
        <v>102.4605</v>
      </c>
    </row>
    <row r="531" spans="1:14" x14ac:dyDescent="0.25">
      <c r="A531" s="11"/>
      <c r="B531" s="10">
        <v>1608</v>
      </c>
      <c r="C531" s="10" t="s">
        <v>135</v>
      </c>
      <c r="D531" s="11" t="s">
        <v>67</v>
      </c>
      <c r="E531" s="10" t="s">
        <v>135</v>
      </c>
      <c r="F531" s="11" t="s">
        <v>68</v>
      </c>
      <c r="G531" s="10" t="s">
        <v>136</v>
      </c>
      <c r="H531" s="11" t="s">
        <v>74</v>
      </c>
      <c r="I531" s="11">
        <v>70</v>
      </c>
      <c r="J531" s="12">
        <f t="shared" si="59"/>
        <v>3.98</v>
      </c>
      <c r="K531" s="12">
        <f t="shared" si="60"/>
        <v>3.98</v>
      </c>
      <c r="L531" s="12">
        <f t="shared" si="61"/>
        <v>6.31</v>
      </c>
      <c r="M531" s="13">
        <f t="shared" si="62"/>
        <v>0.27890679747722497</v>
      </c>
      <c r="N531" s="14">
        <f t="shared" si="63"/>
        <v>93.976348983882261</v>
      </c>
    </row>
    <row r="532" spans="1:14" x14ac:dyDescent="0.25">
      <c r="A532" s="11"/>
      <c r="B532" s="10">
        <v>1705</v>
      </c>
      <c r="C532" s="10" t="s">
        <v>137</v>
      </c>
      <c r="D532" s="11" t="s">
        <v>67</v>
      </c>
      <c r="E532" s="10" t="s">
        <v>137</v>
      </c>
      <c r="F532" s="11" t="s">
        <v>65</v>
      </c>
      <c r="G532" s="10" t="s">
        <v>135</v>
      </c>
      <c r="H532" s="11" t="s">
        <v>68</v>
      </c>
      <c r="I532" s="11">
        <v>77</v>
      </c>
      <c r="J532" s="12">
        <f t="shared" si="59"/>
        <v>2.5099999999999998</v>
      </c>
      <c r="K532" s="12">
        <f t="shared" si="60"/>
        <v>2.5099999999999998</v>
      </c>
      <c r="L532" s="12">
        <f t="shared" si="61"/>
        <v>3.98</v>
      </c>
      <c r="M532" s="13">
        <f t="shared" si="62"/>
        <v>0.27888888888888885</v>
      </c>
      <c r="N532" s="14">
        <f t="shared" si="63"/>
        <v>103.37463888888888</v>
      </c>
    </row>
    <row r="533" spans="1:14" x14ac:dyDescent="0.25">
      <c r="A533" s="11"/>
      <c r="B533" s="10">
        <v>1805</v>
      </c>
      <c r="C533" s="10" t="s">
        <v>135</v>
      </c>
      <c r="D533" s="11" t="s">
        <v>67</v>
      </c>
      <c r="E533" s="10" t="s">
        <v>135</v>
      </c>
      <c r="F533" s="11" t="s">
        <v>65</v>
      </c>
      <c r="G533" s="10" t="s">
        <v>137</v>
      </c>
      <c r="H533" s="11" t="s">
        <v>69</v>
      </c>
      <c r="I533" s="11">
        <v>75</v>
      </c>
      <c r="J533" s="12">
        <f t="shared" si="59"/>
        <v>3.98</v>
      </c>
      <c r="K533" s="12">
        <f t="shared" si="60"/>
        <v>3.98</v>
      </c>
      <c r="L533" s="12">
        <f t="shared" si="61"/>
        <v>2.5099999999999998</v>
      </c>
      <c r="M533" s="13">
        <f t="shared" si="62"/>
        <v>0.38013371537726842</v>
      </c>
      <c r="N533" s="14">
        <f t="shared" si="63"/>
        <v>97.082736389684811</v>
      </c>
    </row>
    <row r="534" spans="1:14" x14ac:dyDescent="0.25">
      <c r="A534" s="11"/>
      <c r="B534" s="10">
        <v>1906</v>
      </c>
      <c r="C534" s="10" t="s">
        <v>135</v>
      </c>
      <c r="D534" s="11" t="s">
        <v>67</v>
      </c>
      <c r="E534" s="10" t="s">
        <v>135</v>
      </c>
      <c r="F534" s="11" t="s">
        <v>65</v>
      </c>
      <c r="G534" s="10" t="s">
        <v>136</v>
      </c>
      <c r="H534" s="11" t="s">
        <v>70</v>
      </c>
      <c r="I534" s="11">
        <v>76</v>
      </c>
      <c r="J534" s="12">
        <f t="shared" si="59"/>
        <v>3.98</v>
      </c>
      <c r="K534" s="12">
        <f t="shared" si="60"/>
        <v>3.98</v>
      </c>
      <c r="L534" s="12">
        <f t="shared" si="61"/>
        <v>6.31</v>
      </c>
      <c r="M534" s="13">
        <f t="shared" si="62"/>
        <v>0.27890679747722497</v>
      </c>
      <c r="N534" s="14">
        <f t="shared" si="63"/>
        <v>102.03146461107217</v>
      </c>
    </row>
    <row r="535" spans="1:14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9" t="s">
        <v>17</v>
      </c>
      <c r="N535" s="15">
        <f>IF(ISNUMBER(M534),AVERAGE(N529:N534),"")</f>
        <v>99.118998129669521</v>
      </c>
    </row>
    <row r="536" spans="1:14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9" t="s">
        <v>18</v>
      </c>
      <c r="N536" s="15">
        <f>IF(ISNUMBER(N535),(N535-69.8)*(113/118),"")</f>
        <v>28.07666770044624</v>
      </c>
    </row>
    <row r="538" spans="1:14" x14ac:dyDescent="0.25">
      <c r="A538" s="2" t="s">
        <v>97</v>
      </c>
      <c r="B538" s="4">
        <v>1705</v>
      </c>
      <c r="C538" s="4" t="s">
        <v>138</v>
      </c>
      <c r="D538" s="2" t="s">
        <v>97</v>
      </c>
      <c r="E538" s="4" t="s">
        <v>136</v>
      </c>
      <c r="F538" s="2" t="s">
        <v>91</v>
      </c>
      <c r="G538" s="4" t="s">
        <v>136</v>
      </c>
      <c r="H538" s="2" t="s">
        <v>96</v>
      </c>
      <c r="I538" s="2">
        <v>71</v>
      </c>
      <c r="J538" s="5">
        <f>IF(C538="A+",10,IF(C538="A",6.31,IF(C538="B",3.98,IF(C538="C",2.51,IF(C538="D",1.59,IF(C538="D-",1,""))))))</f>
        <v>1.59</v>
      </c>
      <c r="K538" s="5">
        <f>IF(E538="A+",10,IF(E538="A",6.31,IF(E538="B",3.98,IF(E538="C",2.51,IF(E538="D",1.59,IF(E538="D-",1,""))))))</f>
        <v>6.31</v>
      </c>
      <c r="L538" s="5">
        <f>IF(G538="A+",10,IF(G538="A",6.31,IF(G538="B",3.98,IF(G538="C",2.51,IF(G538="D",1.59,IF(G538="D-",1,""))))))</f>
        <v>6.31</v>
      </c>
      <c r="M538" s="6">
        <f>IF(ISNUMBER(J538),J538/(J538+K538+L538),"")</f>
        <v>0.1118930330752991</v>
      </c>
      <c r="N538" s="7">
        <f>IF(ISNUMBER(M538),I538*(1+(1-M538)*0.475),"")</f>
        <v>100.95140745953555</v>
      </c>
    </row>
    <row r="539" spans="1:14" x14ac:dyDescent="0.25">
      <c r="M539" s="3" t="s">
        <v>17</v>
      </c>
      <c r="N539" s="8">
        <f>IF(ISNUMBER(M538),AVERAGE(N538:N538),"")</f>
        <v>100.95140745953555</v>
      </c>
    </row>
    <row r="540" spans="1:14" x14ac:dyDescent="0.25">
      <c r="M540" s="3" t="s">
        <v>18</v>
      </c>
      <c r="N540" s="8">
        <f>IF(ISNUMBER(N539),(N539-69.8)*(113/118),"")</f>
        <v>29.831432567182347</v>
      </c>
    </row>
    <row r="542" spans="1:14" x14ac:dyDescent="0.25">
      <c r="A542" s="2" t="s">
        <v>33</v>
      </c>
      <c r="B542" s="4">
        <v>1508</v>
      </c>
      <c r="C542" s="4"/>
      <c r="D542" s="2" t="s">
        <v>33</v>
      </c>
      <c r="E542" s="4"/>
      <c r="F542" s="2" t="s">
        <v>87</v>
      </c>
      <c r="G542" s="4"/>
      <c r="H542" s="2" t="s">
        <v>123</v>
      </c>
      <c r="I542" s="2">
        <v>76</v>
      </c>
      <c r="J542" s="5" t="str">
        <f>IF(C542="A+",10,IF(C542="A",6.31,IF(C542="B",3.98,IF(C542="C",2.51,IF(C542="D",1.59,IF(C542="D-",1,""))))))</f>
        <v/>
      </c>
      <c r="K542" s="5" t="str">
        <f>IF(E542="A+",10,IF(E542="A",6.31,IF(E542="B",3.98,IF(E542="C",2.51,IF(E542="D",1.59,IF(E542="D-",1,""))))))</f>
        <v/>
      </c>
      <c r="L542" s="5" t="str">
        <f>IF(G542="A+",10,IF(G542="A",6.31,IF(G542="B",3.98,IF(G542="C",2.51,IF(G542="D",1.59,IF(G542="D-",1,""))))))</f>
        <v/>
      </c>
      <c r="M542" s="6" t="str">
        <f>IF(ISNUMBER(J542),J542/(J542+K542+L542),"")</f>
        <v/>
      </c>
      <c r="N542" s="7" t="str">
        <f>IF(ISNUMBER(M542),I542*(1+(1-M542)*0.475),"")</f>
        <v/>
      </c>
    </row>
    <row r="543" spans="1:14" x14ac:dyDescent="0.25">
      <c r="B543" s="4">
        <v>1705</v>
      </c>
      <c r="C543" s="4"/>
      <c r="D543" s="2" t="s">
        <v>33</v>
      </c>
      <c r="E543" s="4"/>
      <c r="F543" s="2" t="s">
        <v>31</v>
      </c>
      <c r="G543" s="4"/>
      <c r="H543" s="2" t="s">
        <v>32</v>
      </c>
      <c r="I543" s="2">
        <v>79</v>
      </c>
      <c r="J543" s="5" t="str">
        <f>IF(C543="A+",10,IF(C543="A",6.31,IF(C543="B",3.98,IF(C543="C",2.51,IF(C543="D",1.59,IF(C543="D-",1,""))))))</f>
        <v/>
      </c>
      <c r="K543" s="5" t="str">
        <f>IF(E543="A+",10,IF(E543="A",6.31,IF(E543="B",3.98,IF(E543="C",2.51,IF(E543="D",1.59,IF(E543="D-",1,""))))))</f>
        <v/>
      </c>
      <c r="L543" s="5" t="str">
        <f>IF(G543="A+",10,IF(G543="A",6.31,IF(G543="B",3.98,IF(G543="C",2.51,IF(G543="D",1.59,IF(G543="D-",1,""))))))</f>
        <v/>
      </c>
      <c r="M543" s="6" t="str">
        <f>IF(ISNUMBER(J543),J543/(J543+K543+L543),"")</f>
        <v/>
      </c>
      <c r="N543" s="7" t="str">
        <f>IF(ISNUMBER(M543),I543*(1+(1-M543)*0.475),"")</f>
        <v/>
      </c>
    </row>
    <row r="544" spans="1:14" x14ac:dyDescent="0.25">
      <c r="M544" s="3" t="s">
        <v>17</v>
      </c>
      <c r="N544" s="8" t="str">
        <f>IF(ISNUMBER(M543),AVERAGE(N542:N543),"")</f>
        <v/>
      </c>
    </row>
    <row r="545" spans="1:14" x14ac:dyDescent="0.25">
      <c r="M545" s="3" t="s">
        <v>18</v>
      </c>
      <c r="N545" s="8" t="str">
        <f>IF(ISNUMBER(N544),(N544-69.8)*(113/118),"")</f>
        <v/>
      </c>
    </row>
    <row r="547" spans="1:14" x14ac:dyDescent="0.25">
      <c r="A547" s="2" t="s">
        <v>53</v>
      </c>
      <c r="B547" s="4">
        <v>1505</v>
      </c>
      <c r="C547" s="4"/>
      <c r="D547" s="2" t="s">
        <v>53</v>
      </c>
      <c r="E547" s="4"/>
      <c r="F547" s="2" t="s">
        <v>52</v>
      </c>
      <c r="G547" s="4"/>
      <c r="H547" s="2" t="s">
        <v>54</v>
      </c>
      <c r="I547" s="2">
        <v>79</v>
      </c>
      <c r="J547" s="5" t="str">
        <f>IF(C547="A+",10,IF(C547="A",6.31,IF(C547="B",3.98,IF(C547="C",2.51,IF(C547="D",1.59,IF(C547="D-",1,""))))))</f>
        <v/>
      </c>
      <c r="K547" s="5" t="str">
        <f>IF(E547="A+",10,IF(E547="A",6.31,IF(E547="B",3.98,IF(E547="C",2.51,IF(E547="D",1.59,IF(E547="D-",1,""))))))</f>
        <v/>
      </c>
      <c r="L547" s="5" t="str">
        <f>IF(G547="A+",10,IF(G547="A",6.31,IF(G547="B",3.98,IF(G547="C",2.51,IF(G547="D",1.59,IF(G547="D-",1,""))))))</f>
        <v/>
      </c>
      <c r="M547" s="6" t="str">
        <f>IF(ISNUMBER(J547),J547/(J547+K547+L547),"")</f>
        <v/>
      </c>
      <c r="N547" s="7" t="str">
        <f>IF(ISNUMBER(M547),I547*(1+(1-M547)*0.475),"")</f>
        <v/>
      </c>
    </row>
    <row r="548" spans="1:14" x14ac:dyDescent="0.25">
      <c r="B548" s="4">
        <v>1608</v>
      </c>
      <c r="C548" s="4"/>
      <c r="D548" s="2" t="s">
        <v>53</v>
      </c>
      <c r="E548" s="4"/>
      <c r="F548" s="2" t="s">
        <v>52</v>
      </c>
      <c r="G548" s="4"/>
      <c r="H548" s="2" t="s">
        <v>54</v>
      </c>
      <c r="I548" s="2">
        <v>73</v>
      </c>
      <c r="J548" s="5" t="str">
        <f>IF(C548="A+",10,IF(C548="A",6.31,IF(C548="B",3.98,IF(C548="C",2.51,IF(C548="D",1.59,IF(C548="D-",1,""))))))</f>
        <v/>
      </c>
      <c r="K548" s="5" t="str">
        <f>IF(E548="A+",10,IF(E548="A",6.31,IF(E548="B",3.98,IF(E548="C",2.51,IF(E548="D",1.59,IF(E548="D-",1,""))))))</f>
        <v/>
      </c>
      <c r="L548" s="5" t="str">
        <f>IF(G548="A+",10,IF(G548="A",6.31,IF(G548="B",3.98,IF(G548="C",2.51,IF(G548="D",1.59,IF(G548="D-",1,""))))))</f>
        <v/>
      </c>
      <c r="M548" s="6" t="str">
        <f>IF(ISNUMBER(J548),J548/(J548+K548+L548),"")</f>
        <v/>
      </c>
      <c r="N548" s="7" t="str">
        <f>IF(ISNUMBER(M548),I548*(1+(1-M548)*0.475),"")</f>
        <v/>
      </c>
    </row>
    <row r="549" spans="1:14" x14ac:dyDescent="0.25">
      <c r="B549" s="4">
        <v>1705</v>
      </c>
      <c r="C549" s="4"/>
      <c r="D549" s="2" t="s">
        <v>53</v>
      </c>
      <c r="E549" s="4"/>
      <c r="F549" s="2" t="s">
        <v>52</v>
      </c>
      <c r="G549" s="4"/>
      <c r="H549" s="2" t="s">
        <v>54</v>
      </c>
      <c r="I549" s="2">
        <v>73</v>
      </c>
      <c r="J549" s="5" t="str">
        <f>IF(C549="A+",10,IF(C549="A",6.31,IF(C549="B",3.98,IF(C549="C",2.51,IF(C549="D",1.59,IF(C549="D-",1,""))))))</f>
        <v/>
      </c>
      <c r="K549" s="5" t="str">
        <f>IF(E549="A+",10,IF(E549="A",6.31,IF(E549="B",3.98,IF(E549="C",2.51,IF(E549="D",1.59,IF(E549="D-",1,""))))))</f>
        <v/>
      </c>
      <c r="L549" s="5" t="str">
        <f>IF(G549="A+",10,IF(G549="A",6.31,IF(G549="B",3.98,IF(G549="C",2.51,IF(G549="D",1.59,IF(G549="D-",1,""))))))</f>
        <v/>
      </c>
      <c r="M549" s="6" t="str">
        <f>IF(ISNUMBER(J549),J549/(J549+K549+L549),"")</f>
        <v/>
      </c>
      <c r="N549" s="7" t="str">
        <f>IF(ISNUMBER(M549),I549*(1+(1-M549)*0.475),"")</f>
        <v/>
      </c>
    </row>
    <row r="550" spans="1:14" x14ac:dyDescent="0.25">
      <c r="B550" s="4">
        <v>1805</v>
      </c>
      <c r="C550" s="4"/>
      <c r="D550" s="2" t="s">
        <v>53</v>
      </c>
      <c r="E550" s="4"/>
      <c r="F550" s="2" t="s">
        <v>52</v>
      </c>
      <c r="G550" s="4"/>
      <c r="H550" s="2" t="s">
        <v>54</v>
      </c>
      <c r="I550" s="2">
        <v>73</v>
      </c>
      <c r="J550" s="5" t="str">
        <f>IF(C550="A+",10,IF(C550="A",6.31,IF(C550="B",3.98,IF(C550="C",2.51,IF(C550="D",1.59,IF(C550="D-",1,""))))))</f>
        <v/>
      </c>
      <c r="K550" s="5" t="str">
        <f>IF(E550="A+",10,IF(E550="A",6.31,IF(E550="B",3.98,IF(E550="C",2.51,IF(E550="D",1.59,IF(E550="D-",1,""))))))</f>
        <v/>
      </c>
      <c r="L550" s="5" t="str">
        <f>IF(G550="A+",10,IF(G550="A",6.31,IF(G550="B",3.98,IF(G550="C",2.51,IF(G550="D",1.59,IF(G550="D-",1,""))))))</f>
        <v/>
      </c>
      <c r="M550" s="6" t="str">
        <f>IF(ISNUMBER(J550),J550/(J550+K550+L550),"")</f>
        <v/>
      </c>
      <c r="N550" s="7" t="str">
        <f>IF(ISNUMBER(M550),I550*(1+(1-M550)*0.475),"")</f>
        <v/>
      </c>
    </row>
    <row r="551" spans="1:14" x14ac:dyDescent="0.25">
      <c r="B551" s="4">
        <v>1808</v>
      </c>
      <c r="C551" s="4"/>
      <c r="D551" s="2" t="s">
        <v>53</v>
      </c>
      <c r="E551" s="4"/>
      <c r="F551" s="2" t="s">
        <v>52</v>
      </c>
      <c r="G551" s="4"/>
      <c r="H551" s="2" t="s">
        <v>55</v>
      </c>
      <c r="I551" s="2">
        <v>77</v>
      </c>
      <c r="J551" s="5" t="str">
        <f>IF(C551="A+",10,IF(C551="A",6.31,IF(C551="B",3.98,IF(C551="C",2.51,IF(C551="D",1.59,IF(C551="D-",1,""))))))</f>
        <v/>
      </c>
      <c r="K551" s="5" t="str">
        <f>IF(E551="A+",10,IF(E551="A",6.31,IF(E551="B",3.98,IF(E551="C",2.51,IF(E551="D",1.59,IF(E551="D-",1,""))))))</f>
        <v/>
      </c>
      <c r="L551" s="5" t="str">
        <f>IF(G551="A+",10,IF(G551="A",6.31,IF(G551="B",3.98,IF(G551="C",2.51,IF(G551="D",1.59,IF(G551="D-",1,""))))))</f>
        <v/>
      </c>
      <c r="M551" s="6" t="str">
        <f>IF(ISNUMBER(J551),J551/(J551+K551+L551),"")</f>
        <v/>
      </c>
      <c r="N551" s="7" t="str">
        <f>IF(ISNUMBER(M551),I551*(1+(1-M551)*0.475),"")</f>
        <v/>
      </c>
    </row>
    <row r="552" spans="1:14" x14ac:dyDescent="0.25">
      <c r="M552" s="3" t="s">
        <v>17</v>
      </c>
      <c r="N552" s="8" t="str">
        <f>IF(ISNUMBER(M551),AVERAGE(N547:N551),"")</f>
        <v/>
      </c>
    </row>
    <row r="553" spans="1:14" x14ac:dyDescent="0.25">
      <c r="M553" s="3" t="s">
        <v>18</v>
      </c>
      <c r="N553" s="8" t="str">
        <f>IF(ISNUMBER(N552),(N552-69.8)*(113/118),"")</f>
        <v/>
      </c>
    </row>
    <row r="555" spans="1:14" x14ac:dyDescent="0.25">
      <c r="A555" s="2" t="s">
        <v>55</v>
      </c>
      <c r="B555" s="4">
        <v>1505</v>
      </c>
      <c r="C555" s="4"/>
      <c r="D555" s="2" t="s">
        <v>55</v>
      </c>
      <c r="E555" s="4"/>
      <c r="F555" s="2" t="s">
        <v>99</v>
      </c>
      <c r="G555" s="4"/>
      <c r="H555" s="2" t="s">
        <v>100</v>
      </c>
      <c r="I555" s="2">
        <v>75</v>
      </c>
      <c r="J555" s="5" t="str">
        <f>IF(C555="A+",10,IF(C555="A",6.31,IF(C555="B",3.98,IF(C555="C",2.51,IF(C555="D",1.59,IF(C555="D-",1,""))))))</f>
        <v/>
      </c>
      <c r="K555" s="5" t="str">
        <f>IF(E555="A+",10,IF(E555="A",6.31,IF(E555="B",3.98,IF(E555="C",2.51,IF(E555="D",1.59,IF(E555="D-",1,""))))))</f>
        <v/>
      </c>
      <c r="L555" s="5" t="str">
        <f>IF(G555="A+",10,IF(G555="A",6.31,IF(G555="B",3.98,IF(G555="C",2.51,IF(G555="D",1.59,IF(G555="D-",1,""))))))</f>
        <v/>
      </c>
      <c r="M555" s="6" t="str">
        <f>IF(ISNUMBER(J555),J555/(J555+K555+L555),"")</f>
        <v/>
      </c>
      <c r="N555" s="7" t="str">
        <f>IF(ISNUMBER(M555),I555*(1+(1-M555)*0.475),"")</f>
        <v/>
      </c>
    </row>
    <row r="556" spans="1:14" x14ac:dyDescent="0.25">
      <c r="B556" s="4">
        <v>1508</v>
      </c>
      <c r="C556" s="4"/>
      <c r="D556" s="2" t="s">
        <v>55</v>
      </c>
      <c r="E556" s="4"/>
      <c r="F556" s="2" t="s">
        <v>121</v>
      </c>
      <c r="G556" s="4"/>
      <c r="H556" s="2" t="s">
        <v>102</v>
      </c>
      <c r="I556" s="2">
        <v>72</v>
      </c>
      <c r="J556" s="5" t="str">
        <f>IF(C556="A+",10,IF(C556="A",6.31,IF(C556="B",3.98,IF(C556="C",2.51,IF(C556="D",1.59,IF(C556="D-",1,""))))))</f>
        <v/>
      </c>
      <c r="K556" s="5" t="str">
        <f>IF(E556="A+",10,IF(E556="A",6.31,IF(E556="B",3.98,IF(E556="C",2.51,IF(E556="D",1.59,IF(E556="D-",1,""))))))</f>
        <v/>
      </c>
      <c r="L556" s="5" t="str">
        <f>IF(G556="A+",10,IF(G556="A",6.31,IF(G556="B",3.98,IF(G556="C",2.51,IF(G556="D",1.59,IF(G556="D-",1,""))))))</f>
        <v/>
      </c>
      <c r="M556" s="6" t="str">
        <f>IF(ISNUMBER(J556),J556/(J556+K556+L556),"")</f>
        <v/>
      </c>
      <c r="N556" s="7" t="str">
        <f>IF(ISNUMBER(M556),I556*(1+(1-M556)*0.475),"")</f>
        <v/>
      </c>
    </row>
    <row r="557" spans="1:14" x14ac:dyDescent="0.25">
      <c r="B557" s="4">
        <v>1608</v>
      </c>
      <c r="C557" s="4"/>
      <c r="D557" s="2" t="s">
        <v>55</v>
      </c>
      <c r="E557" s="4"/>
      <c r="F557" s="2" t="s">
        <v>101</v>
      </c>
      <c r="G557" s="4"/>
      <c r="H557" s="2" t="s">
        <v>102</v>
      </c>
      <c r="I557" s="2">
        <v>64</v>
      </c>
      <c r="J557" s="5" t="str">
        <f>IF(C557="A+",10,IF(C557="A",6.31,IF(C557="B",3.98,IF(C557="C",2.51,IF(C557="D",1.59,IF(C557="D-",1,""))))))</f>
        <v/>
      </c>
      <c r="K557" s="5" t="str">
        <f>IF(E557="A+",10,IF(E557="A",6.31,IF(E557="B",3.98,IF(E557="C",2.51,IF(E557="D",1.59,IF(E557="D-",1,""))))))</f>
        <v/>
      </c>
      <c r="L557" s="5" t="str">
        <f>IF(G557="A+",10,IF(G557="A",6.31,IF(G557="B",3.98,IF(G557="C",2.51,IF(G557="D",1.59,IF(G557="D-",1,""))))))</f>
        <v/>
      </c>
      <c r="M557" s="6" t="str">
        <f>IF(ISNUMBER(J557),J557/(J557+K557+L557),"")</f>
        <v/>
      </c>
      <c r="N557" s="7" t="str">
        <f>IF(ISNUMBER(M557),I557*(1+(1-M557)*0.475),"")</f>
        <v/>
      </c>
    </row>
    <row r="558" spans="1:14" x14ac:dyDescent="0.25">
      <c r="B558" s="4">
        <v>1705</v>
      </c>
      <c r="C558" s="4"/>
      <c r="D558" s="2" t="s">
        <v>55</v>
      </c>
      <c r="E558" s="4"/>
      <c r="F558" s="2" t="s">
        <v>100</v>
      </c>
      <c r="G558" s="4"/>
      <c r="H558" s="2" t="s">
        <v>103</v>
      </c>
      <c r="I558" s="2">
        <v>71</v>
      </c>
      <c r="J558" s="5" t="str">
        <f>IF(C558="A+",10,IF(C558="A",6.31,IF(C558="B",3.98,IF(C558="C",2.51,IF(C558="D",1.59,IF(C558="D-",1,""))))))</f>
        <v/>
      </c>
      <c r="K558" s="5" t="str">
        <f>IF(E558="A+",10,IF(E558="A",6.31,IF(E558="B",3.98,IF(E558="C",2.51,IF(E558="D",1.59,IF(E558="D-",1,""))))))</f>
        <v/>
      </c>
      <c r="L558" s="5" t="str">
        <f>IF(G558="A+",10,IF(G558="A",6.31,IF(G558="B",3.98,IF(G558="C",2.51,IF(G558="D",1.59,IF(G558="D-",1,""))))))</f>
        <v/>
      </c>
      <c r="M558" s="6" t="str">
        <f>IF(ISNUMBER(J558),J558/(J558+K558+L558),"")</f>
        <v/>
      </c>
      <c r="N558" s="7" t="str">
        <f>IF(ISNUMBER(M558),I558*(1+(1-M558)*0.475),"")</f>
        <v/>
      </c>
    </row>
    <row r="559" spans="1:14" x14ac:dyDescent="0.25">
      <c r="B559" s="4">
        <v>1808</v>
      </c>
      <c r="C559" s="4"/>
      <c r="D559" s="2" t="s">
        <v>55</v>
      </c>
      <c r="E559" s="4"/>
      <c r="F559" s="2" t="s">
        <v>52</v>
      </c>
      <c r="G559" s="4"/>
      <c r="H559" s="2" t="s">
        <v>53</v>
      </c>
      <c r="I559" s="2">
        <v>77</v>
      </c>
      <c r="J559" s="5" t="str">
        <f>IF(C559="A+",10,IF(C559="A",6.31,IF(C559="B",3.98,IF(C559="C",2.51,IF(C559="D",1.59,IF(C559="D-",1,""))))))</f>
        <v/>
      </c>
      <c r="K559" s="5" t="str">
        <f>IF(E559="A+",10,IF(E559="A",6.31,IF(E559="B",3.98,IF(E559="C",2.51,IF(E559="D",1.59,IF(E559="D-",1,""))))))</f>
        <v/>
      </c>
      <c r="L559" s="5" t="str">
        <f>IF(G559="A+",10,IF(G559="A",6.31,IF(G559="B",3.98,IF(G559="C",2.51,IF(G559="D",1.59,IF(G559="D-",1,""))))))</f>
        <v/>
      </c>
      <c r="M559" s="6" t="str">
        <f>IF(ISNUMBER(J559),J559/(J559+K559+L559),"")</f>
        <v/>
      </c>
      <c r="N559" s="7" t="str">
        <f>IF(ISNUMBER(M559),I559*(1+(1-M559)*0.475),"")</f>
        <v/>
      </c>
    </row>
    <row r="560" spans="1:14" x14ac:dyDescent="0.25">
      <c r="M560" s="3" t="s">
        <v>17</v>
      </c>
      <c r="N560" s="8" t="str">
        <f>IF(ISNUMBER(M559),AVERAGE(N555:N559),"")</f>
        <v/>
      </c>
    </row>
    <row r="561" spans="1:14" x14ac:dyDescent="0.25">
      <c r="M561" s="3" t="s">
        <v>18</v>
      </c>
      <c r="N561" s="8" t="str">
        <f>IF(ISNUMBER(N560),(N560-69.8)*(113/118),"")</f>
        <v/>
      </c>
    </row>
    <row r="563" spans="1:14" x14ac:dyDescent="0.25">
      <c r="A563" s="2" t="s">
        <v>102</v>
      </c>
      <c r="B563" s="4">
        <v>1508</v>
      </c>
      <c r="C563" s="4"/>
      <c r="D563" s="2" t="s">
        <v>102</v>
      </c>
      <c r="E563" s="4"/>
      <c r="F563" s="2" t="s">
        <v>121</v>
      </c>
      <c r="G563" s="4"/>
      <c r="H563" s="2" t="s">
        <v>55</v>
      </c>
      <c r="I563" s="2">
        <v>72</v>
      </c>
      <c r="J563" s="5" t="str">
        <f>IF(C563="A+",10,IF(C563="A",6.31,IF(C563="B",3.98,IF(C563="C",2.51,IF(C563="D",1.59,IF(C563="D-",1,""))))))</f>
        <v/>
      </c>
      <c r="K563" s="5" t="str">
        <f>IF(E563="A+",10,IF(E563="A",6.31,IF(E563="B",3.98,IF(E563="C",2.51,IF(E563="D",1.59,IF(E563="D-",1,""))))))</f>
        <v/>
      </c>
      <c r="L563" s="5" t="str">
        <f>IF(G563="A+",10,IF(G563="A",6.31,IF(G563="B",3.98,IF(G563="C",2.51,IF(G563="D",1.59,IF(G563="D-",1,""))))))</f>
        <v/>
      </c>
      <c r="M563" s="6" t="str">
        <f>IF(ISNUMBER(J563),J563/(J563+K563+L563),"")</f>
        <v/>
      </c>
      <c r="N563" s="7" t="str">
        <f>IF(ISNUMBER(M563),I563*(1+(1-M563)*0.475),"")</f>
        <v/>
      </c>
    </row>
    <row r="564" spans="1:14" x14ac:dyDescent="0.25">
      <c r="B564" s="4">
        <v>1608</v>
      </c>
      <c r="C564" s="4"/>
      <c r="D564" s="2" t="s">
        <v>102</v>
      </c>
      <c r="E564" s="4"/>
      <c r="F564" s="2" t="s">
        <v>101</v>
      </c>
      <c r="G564" s="4"/>
      <c r="H564" s="2" t="s">
        <v>55</v>
      </c>
      <c r="I564" s="2">
        <v>64</v>
      </c>
      <c r="J564" s="5" t="str">
        <f>IF(C564="A+",10,IF(C564="A",6.31,IF(C564="B",3.98,IF(C564="C",2.51,IF(C564="D",1.59,IF(C564="D-",1,""))))))</f>
        <v/>
      </c>
      <c r="K564" s="5" t="str">
        <f>IF(E564="A+",10,IF(E564="A",6.31,IF(E564="B",3.98,IF(E564="C",2.51,IF(E564="D",1.59,IF(E564="D-",1,""))))))</f>
        <v/>
      </c>
      <c r="L564" s="5" t="str">
        <f>IF(G564="A+",10,IF(G564="A",6.31,IF(G564="B",3.98,IF(G564="C",2.51,IF(G564="D",1.59,IF(G564="D-",1,""))))))</f>
        <v/>
      </c>
      <c r="M564" s="6" t="str">
        <f>IF(ISNUMBER(J564),J564/(J564+K564+L564),"")</f>
        <v/>
      </c>
      <c r="N564" s="7" t="str">
        <f>IF(ISNUMBER(M564),I564*(1+(1-M564)*0.475),"")</f>
        <v/>
      </c>
    </row>
    <row r="565" spans="1:14" x14ac:dyDescent="0.25">
      <c r="B565" s="4">
        <v>1805</v>
      </c>
      <c r="C565" s="4"/>
      <c r="D565" s="2" t="s">
        <v>102</v>
      </c>
      <c r="E565" s="4"/>
      <c r="F565" s="2" t="s">
        <v>99</v>
      </c>
      <c r="G565" s="4"/>
      <c r="H565" s="2" t="s">
        <v>101</v>
      </c>
      <c r="I565" s="2">
        <v>64</v>
      </c>
      <c r="J565" s="5" t="str">
        <f>IF(C565="A+",10,IF(C565="A",6.31,IF(C565="B",3.98,IF(C565="C",2.51,IF(C565="D",1.59,IF(C565="D-",1,""))))))</f>
        <v/>
      </c>
      <c r="K565" s="5" t="str">
        <f>IF(E565="A+",10,IF(E565="A",6.31,IF(E565="B",3.98,IF(E565="C",2.51,IF(E565="D",1.59,IF(E565="D-",1,""))))))</f>
        <v/>
      </c>
      <c r="L565" s="5" t="str">
        <f>IF(G565="A+",10,IF(G565="A",6.31,IF(G565="B",3.98,IF(G565="C",2.51,IF(G565="D",1.59,IF(G565="D-",1,""))))))</f>
        <v/>
      </c>
      <c r="M565" s="6" t="str">
        <f>IF(ISNUMBER(J565),J565/(J565+K565+L565),"")</f>
        <v/>
      </c>
      <c r="N565" s="7" t="str">
        <f>IF(ISNUMBER(M565),I565*(1+(1-M565)*0.475),"")</f>
        <v/>
      </c>
    </row>
    <row r="566" spans="1:14" x14ac:dyDescent="0.25">
      <c r="M566" s="3" t="s">
        <v>17</v>
      </c>
      <c r="N566" s="8" t="str">
        <f>IF(ISNUMBER(M565),AVERAGE(N563:N565),"")</f>
        <v/>
      </c>
    </row>
    <row r="567" spans="1:14" x14ac:dyDescent="0.25">
      <c r="M567" s="3" t="s">
        <v>18</v>
      </c>
      <c r="N567" s="8" t="str">
        <f>IF(ISNUMBER(N566),(N566-69.8)*(113/118),"")</f>
        <v/>
      </c>
    </row>
    <row r="569" spans="1:14" x14ac:dyDescent="0.25">
      <c r="A569" s="2" t="s">
        <v>29</v>
      </c>
      <c r="B569" s="4">
        <v>1508</v>
      </c>
      <c r="C569" s="4"/>
      <c r="D569" s="2" t="s">
        <v>29</v>
      </c>
      <c r="E569" s="4"/>
      <c r="F569" s="2" t="s">
        <v>26</v>
      </c>
      <c r="G569" s="4"/>
      <c r="H569" s="2" t="s">
        <v>28</v>
      </c>
      <c r="I569" s="2">
        <v>69</v>
      </c>
      <c r="J569" s="5" t="str">
        <f>IF(C569="A+",10,IF(C569="A",6.31,IF(C569="B",3.98,IF(C569="C",2.51,IF(C569="D",1.59,IF(C569="D-",1,""))))))</f>
        <v/>
      </c>
      <c r="K569" s="5" t="str">
        <f>IF(E569="A+",10,IF(E569="A",6.31,IF(E569="B",3.98,IF(E569="C",2.51,IF(E569="D",1.59,IF(E569="D-",1,""))))))</f>
        <v/>
      </c>
      <c r="L569" s="5" t="str">
        <f>IF(G569="A+",10,IF(G569="A",6.31,IF(G569="B",3.98,IF(G569="C",2.51,IF(G569="D",1.59,IF(G569="D-",1,""))))))</f>
        <v/>
      </c>
      <c r="M569" s="6" t="str">
        <f>IF(ISNUMBER(J569),J569/(J569+K569+L569),"")</f>
        <v/>
      </c>
      <c r="N569" s="7" t="str">
        <f>IF(ISNUMBER(M569),I569*(1+(1-M569)*0.475),"")</f>
        <v/>
      </c>
    </row>
    <row r="570" spans="1:14" x14ac:dyDescent="0.25">
      <c r="B570" s="4">
        <v>1608</v>
      </c>
      <c r="C570" s="4"/>
      <c r="D570" s="2" t="s">
        <v>29</v>
      </c>
      <c r="E570" s="4"/>
      <c r="F570" s="2" t="s">
        <v>26</v>
      </c>
      <c r="G570" s="4"/>
      <c r="H570" s="2" t="s">
        <v>28</v>
      </c>
      <c r="I570" s="2">
        <v>71</v>
      </c>
      <c r="J570" s="5" t="str">
        <f>IF(C570="A+",10,IF(C570="A",6.31,IF(C570="B",3.98,IF(C570="C",2.51,IF(C570="D",1.59,IF(C570="D-",1,""))))))</f>
        <v/>
      </c>
      <c r="K570" s="5" t="str">
        <f>IF(E570="A+",10,IF(E570="A",6.31,IF(E570="B",3.98,IF(E570="C",2.51,IF(E570="D",1.59,IF(E570="D-",1,""))))))</f>
        <v/>
      </c>
      <c r="L570" s="5" t="str">
        <f>IF(G570="A+",10,IF(G570="A",6.31,IF(G570="B",3.98,IF(G570="C",2.51,IF(G570="D",1.59,IF(G570="D-",1,""))))))</f>
        <v/>
      </c>
      <c r="M570" s="6" t="str">
        <f>IF(ISNUMBER(J570),J570/(J570+K570+L570),"")</f>
        <v/>
      </c>
      <c r="N570" s="7" t="str">
        <f>IF(ISNUMBER(M570),I570*(1+(1-M570)*0.475),"")</f>
        <v/>
      </c>
    </row>
    <row r="571" spans="1:14" x14ac:dyDescent="0.25">
      <c r="B571" s="4">
        <v>1705</v>
      </c>
      <c r="C571" s="4"/>
      <c r="D571" s="2" t="s">
        <v>29</v>
      </c>
      <c r="E571" s="4"/>
      <c r="F571" s="2" t="s">
        <v>26</v>
      </c>
      <c r="G571" s="4"/>
      <c r="H571" s="2" t="s">
        <v>28</v>
      </c>
      <c r="I571" s="2">
        <v>70</v>
      </c>
      <c r="J571" s="5" t="str">
        <f>IF(C571="A+",10,IF(C571="A",6.31,IF(C571="B",3.98,IF(C571="C",2.51,IF(C571="D",1.59,IF(C571="D-",1,""))))))</f>
        <v/>
      </c>
      <c r="K571" s="5" t="str">
        <f>IF(E571="A+",10,IF(E571="A",6.31,IF(E571="B",3.98,IF(E571="C",2.51,IF(E571="D",1.59,IF(E571="D-",1,""))))))</f>
        <v/>
      </c>
      <c r="L571" s="5" t="str">
        <f>IF(G571="A+",10,IF(G571="A",6.31,IF(G571="B",3.98,IF(G571="C",2.51,IF(G571="D",1.59,IF(G571="D-",1,""))))))</f>
        <v/>
      </c>
      <c r="M571" s="6" t="str">
        <f>IF(ISNUMBER(J571),J571/(J571+K571+L571),"")</f>
        <v/>
      </c>
      <c r="N571" s="7" t="str">
        <f>IF(ISNUMBER(M571),I571*(1+(1-M571)*0.475),"")</f>
        <v/>
      </c>
    </row>
    <row r="572" spans="1:14" x14ac:dyDescent="0.25">
      <c r="B572" s="4">
        <v>1808</v>
      </c>
      <c r="C572" s="4"/>
      <c r="D572" s="2" t="s">
        <v>29</v>
      </c>
      <c r="E572" s="4"/>
      <c r="F572" s="2" t="s">
        <v>26</v>
      </c>
      <c r="G572" s="4"/>
      <c r="H572" s="2" t="s">
        <v>28</v>
      </c>
      <c r="I572" s="2">
        <v>73</v>
      </c>
      <c r="J572" s="5" t="str">
        <f>IF(C572="A+",10,IF(C572="A",6.31,IF(C572="B",3.98,IF(C572="C",2.51,IF(C572="D",1.59,IF(C572="D-",1,""))))))</f>
        <v/>
      </c>
      <c r="K572" s="5" t="str">
        <f>IF(E572="A+",10,IF(E572="A",6.31,IF(E572="B",3.98,IF(E572="C",2.51,IF(E572="D",1.59,IF(E572="D-",1,""))))))</f>
        <v/>
      </c>
      <c r="L572" s="5" t="str">
        <f>IF(G572="A+",10,IF(G572="A",6.31,IF(G572="B",3.98,IF(G572="C",2.51,IF(G572="D",1.59,IF(G572="D-",1,""))))))</f>
        <v/>
      </c>
      <c r="M572" s="6" t="str">
        <f>IF(ISNUMBER(J572),J572/(J572+K572+L572),"")</f>
        <v/>
      </c>
      <c r="N572" s="7" t="str">
        <f>IF(ISNUMBER(M572),I572*(1+(1-M572)*0.475),"")</f>
        <v/>
      </c>
    </row>
    <row r="573" spans="1:14" x14ac:dyDescent="0.25">
      <c r="M573" s="3" t="s">
        <v>17</v>
      </c>
      <c r="N573" s="8" t="str">
        <f>IF(ISNUMBER(M572),AVERAGE(N569:N572),"")</f>
        <v/>
      </c>
    </row>
    <row r="574" spans="1:14" x14ac:dyDescent="0.25">
      <c r="M574" s="3" t="s">
        <v>18</v>
      </c>
      <c r="N574" s="8" t="str">
        <f>IF(ISNUMBER(N573),(N573-69.8)*(113/118),"")</f>
        <v/>
      </c>
    </row>
    <row r="576" spans="1:14" x14ac:dyDescent="0.25">
      <c r="A576" s="11" t="s">
        <v>127</v>
      </c>
      <c r="B576" s="10">
        <v>1906</v>
      </c>
      <c r="C576" s="10" t="s">
        <v>139</v>
      </c>
      <c r="D576" s="11" t="s">
        <v>127</v>
      </c>
      <c r="E576" s="10" t="s">
        <v>135</v>
      </c>
      <c r="F576" s="11" t="s">
        <v>62</v>
      </c>
      <c r="G576" s="10" t="s">
        <v>135</v>
      </c>
      <c r="H576" s="11" t="s">
        <v>124</v>
      </c>
      <c r="I576" s="11">
        <v>69</v>
      </c>
      <c r="J576" s="12">
        <f>IF(C576="A+",10,IF(C576="A",6.31,IF(C576="B",3.98,IF(C576="C",2.51,IF(C576="D",1.59,IF(C576="D-",1,""))))))</f>
        <v>1</v>
      </c>
      <c r="K576" s="12">
        <f>IF(E576="A+",10,IF(E576="A",6.31,IF(E576="B",3.98,IF(E576="C",2.51,IF(E576="D",1.59,IF(E576="D-",1,""))))))</f>
        <v>3.98</v>
      </c>
      <c r="L576" s="12">
        <f>IF(G576="A+",10,IF(G576="A",6.31,IF(G576="B",3.98,IF(G576="C",2.51,IF(G576="D",1.59,IF(G576="D-",1,""))))))</f>
        <v>3.98</v>
      </c>
      <c r="M576" s="13">
        <f>IF(ISNUMBER(J576),J576/(J576+K576+L576),"")</f>
        <v>0.11160714285714285</v>
      </c>
      <c r="N576" s="14">
        <f>IF(ISNUMBER(M576),I576*(1+(1-M576)*0.475),"")</f>
        <v>98.117075892857144</v>
      </c>
    </row>
    <row r="577" spans="1:14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9" t="s">
        <v>17</v>
      </c>
      <c r="N577" s="15">
        <f>IF(ISNUMBER(M576),AVERAGE(N576:N576),"")</f>
        <v>98.117075892857144</v>
      </c>
    </row>
    <row r="578" spans="1:14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9" t="s">
        <v>18</v>
      </c>
      <c r="N578" s="15">
        <f>IF(ISNUMBER(N577),(N577-69.8)*(113/118),"")</f>
        <v>27.117199795702184</v>
      </c>
    </row>
    <row r="580" spans="1:14" x14ac:dyDescent="0.25">
      <c r="A580" s="11" t="s">
        <v>123</v>
      </c>
      <c r="B580" s="10">
        <v>1505</v>
      </c>
      <c r="C580" s="10" t="s">
        <v>138</v>
      </c>
      <c r="D580" s="11" t="s">
        <v>123</v>
      </c>
      <c r="E580" s="10" t="s">
        <v>135</v>
      </c>
      <c r="F580" s="11" t="s">
        <v>87</v>
      </c>
      <c r="G580" s="10" t="s">
        <v>137</v>
      </c>
      <c r="H580" s="11" t="s">
        <v>122</v>
      </c>
      <c r="I580" s="11">
        <v>78</v>
      </c>
      <c r="J580" s="12">
        <f>IF(C580="A+",10,IF(C580="A",6.31,IF(C580="B",3.98,IF(C580="C",2.51,IF(C580="D",1.59,IF(C580="D-",1,""))))))</f>
        <v>1.59</v>
      </c>
      <c r="K580" s="12">
        <f>IF(E580="A+",10,IF(E580="A",6.31,IF(E580="B",3.98,IF(E580="C",2.51,IF(E580="D",1.59,IF(E580="D-",1,""))))))</f>
        <v>3.98</v>
      </c>
      <c r="L580" s="12">
        <f>IF(G580="A+",10,IF(G580="A",6.31,IF(G580="B",3.98,IF(G580="C",2.51,IF(G580="D",1.59,IF(G580="D-",1,""))))))</f>
        <v>2.5099999999999998</v>
      </c>
      <c r="M580" s="13">
        <f>IF(ISNUMBER(J580),J580/(J580+K580+L580),"")</f>
        <v>0.19678217821782179</v>
      </c>
      <c r="N580" s="14">
        <f>IF(ISNUMBER(M580),I580*(1+(1-M580)*0.475),"")</f>
        <v>107.75922029702969</v>
      </c>
    </row>
    <row r="581" spans="1:14" x14ac:dyDescent="0.25">
      <c r="A581" s="11"/>
      <c r="B581" s="10">
        <v>1508</v>
      </c>
      <c r="C581" s="10" t="s">
        <v>138</v>
      </c>
      <c r="D581" s="11" t="s">
        <v>123</v>
      </c>
      <c r="E581" s="10" t="s">
        <v>135</v>
      </c>
      <c r="F581" s="11" t="s">
        <v>87</v>
      </c>
      <c r="G581" s="10" t="s">
        <v>137</v>
      </c>
      <c r="H581" s="11" t="s">
        <v>33</v>
      </c>
      <c r="I581" s="11">
        <v>76</v>
      </c>
      <c r="J581" s="12">
        <f>IF(C581="A+",10,IF(C581="A",6.31,IF(C581="B",3.98,IF(C581="C",2.51,IF(C581="D",1.59,IF(C581="D-",1,""))))))</f>
        <v>1.59</v>
      </c>
      <c r="K581" s="12">
        <f>IF(E581="A+",10,IF(E581="A",6.31,IF(E581="B",3.98,IF(E581="C",2.51,IF(E581="D",1.59,IF(E581="D-",1,""))))))</f>
        <v>3.98</v>
      </c>
      <c r="L581" s="12">
        <f>IF(G581="A+",10,IF(G581="A",6.31,IF(G581="B",3.98,IF(G581="C",2.51,IF(G581="D",1.59,IF(G581="D-",1,""))))))</f>
        <v>2.5099999999999998</v>
      </c>
      <c r="M581" s="13">
        <f>IF(ISNUMBER(J581),J581/(J581+K581+L581),"")</f>
        <v>0.19678217821782179</v>
      </c>
      <c r="N581" s="14">
        <f>IF(ISNUMBER(M581),I581*(1+(1-M581)*0.475),"")</f>
        <v>104.99616336633662</v>
      </c>
    </row>
    <row r="582" spans="1:14" x14ac:dyDescent="0.25">
      <c r="A582" s="11"/>
      <c r="B582" s="10">
        <v>1608</v>
      </c>
      <c r="C582" s="10" t="s">
        <v>138</v>
      </c>
      <c r="D582" s="11" t="s">
        <v>123</v>
      </c>
      <c r="E582" s="10" t="s">
        <v>135</v>
      </c>
      <c r="F582" s="11" t="s">
        <v>87</v>
      </c>
      <c r="G582" s="10" t="s">
        <v>135</v>
      </c>
      <c r="H582" s="11" t="s">
        <v>62</v>
      </c>
      <c r="I582" s="11">
        <v>75</v>
      </c>
      <c r="J582" s="12">
        <f>IF(C582="A+",10,IF(C582="A",6.31,IF(C582="B",3.98,IF(C582="C",2.51,IF(C582="D",1.59,IF(C582="D-",1,""))))))</f>
        <v>1.59</v>
      </c>
      <c r="K582" s="12">
        <f>IF(E582="A+",10,IF(E582="A",6.31,IF(E582="B",3.98,IF(E582="C",2.51,IF(E582="D",1.59,IF(E582="D-",1,""))))))</f>
        <v>3.98</v>
      </c>
      <c r="L582" s="12">
        <f>IF(G582="A+",10,IF(G582="A",6.31,IF(G582="B",3.98,IF(G582="C",2.51,IF(G582="D",1.59,IF(G582="D-",1,""))))))</f>
        <v>3.98</v>
      </c>
      <c r="M582" s="13">
        <f>IF(ISNUMBER(J582),J582/(J582+K582+L582),"")</f>
        <v>0.16649214659685863</v>
      </c>
      <c r="N582" s="14">
        <f>IF(ISNUMBER(M582),I582*(1+(1-M582)*0.475),"")</f>
        <v>104.69371727748693</v>
      </c>
    </row>
    <row r="583" spans="1:14" x14ac:dyDescent="0.25">
      <c r="A583" s="11"/>
      <c r="B583" s="10">
        <v>1808</v>
      </c>
      <c r="C583" s="10" t="s">
        <v>137</v>
      </c>
      <c r="D583" s="11" t="s">
        <v>123</v>
      </c>
      <c r="E583" s="10" t="s">
        <v>135</v>
      </c>
      <c r="F583" s="11" t="s">
        <v>87</v>
      </c>
      <c r="G583" s="10" t="s">
        <v>135</v>
      </c>
      <c r="H583" s="11" t="s">
        <v>62</v>
      </c>
      <c r="I583" s="11">
        <v>73</v>
      </c>
      <c r="J583" s="12">
        <f>IF(C583="A+",10,IF(C583="A",6.31,IF(C583="B",3.98,IF(C583="C",2.51,IF(C583="D",1.59,IF(C583="D-",1,""))))))</f>
        <v>2.5099999999999998</v>
      </c>
      <c r="K583" s="12">
        <f>IF(E583="A+",10,IF(E583="A",6.31,IF(E583="B",3.98,IF(E583="C",2.51,IF(E583="D",1.59,IF(E583="D-",1,""))))))</f>
        <v>3.98</v>
      </c>
      <c r="L583" s="12">
        <f>IF(G583="A+",10,IF(G583="A",6.31,IF(G583="B",3.98,IF(G583="C",2.51,IF(G583="D",1.59,IF(G583="D-",1,""))))))</f>
        <v>3.98</v>
      </c>
      <c r="M583" s="13">
        <f>IF(ISNUMBER(J583),J583/(J583+K583+L583),"")</f>
        <v>0.23973256924546318</v>
      </c>
      <c r="N583" s="14">
        <f>IF(ISNUMBER(M583),I583*(1+(1-M583)*0.475),"")</f>
        <v>99.362273161413569</v>
      </c>
    </row>
    <row r="584" spans="1:14" x14ac:dyDescent="0.25">
      <c r="A584" s="11"/>
      <c r="B584" s="10">
        <v>1906</v>
      </c>
      <c r="C584" s="10" t="s">
        <v>137</v>
      </c>
      <c r="D584" s="11" t="s">
        <v>123</v>
      </c>
      <c r="E584" s="10" t="s">
        <v>135</v>
      </c>
      <c r="F584" s="11" t="s">
        <v>87</v>
      </c>
      <c r="G584" s="10" t="s">
        <v>137</v>
      </c>
      <c r="H584" s="11" t="s">
        <v>122</v>
      </c>
      <c r="I584" s="11">
        <v>75</v>
      </c>
      <c r="J584" s="12">
        <f>IF(C584="A+",10,IF(C584="A",6.31,IF(C584="B",3.98,IF(C584="C",2.51,IF(C584="D",1.59,IF(C584="D-",1,""))))))</f>
        <v>2.5099999999999998</v>
      </c>
      <c r="K584" s="12">
        <f>IF(E584="A+",10,IF(E584="A",6.31,IF(E584="B",3.98,IF(E584="C",2.51,IF(E584="D",1.59,IF(E584="D-",1,""))))))</f>
        <v>3.98</v>
      </c>
      <c r="L584" s="12">
        <f>IF(G584="A+",10,IF(G584="A",6.31,IF(G584="B",3.98,IF(G584="C",2.51,IF(G584="D",1.59,IF(G584="D-",1,""))))))</f>
        <v>2.5099999999999998</v>
      </c>
      <c r="M584" s="13">
        <f>IF(ISNUMBER(J584),J584/(J584+K584+L584),"")</f>
        <v>0.27888888888888885</v>
      </c>
      <c r="N584" s="14">
        <f>IF(ISNUMBER(M584),I584*(1+(1-M584)*0.475),"")</f>
        <v>100.68958333333333</v>
      </c>
    </row>
    <row r="585" spans="1:14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9" t="s">
        <v>17</v>
      </c>
      <c r="N585" s="15">
        <f>IF(ISNUMBER(M584),AVERAGE(N580:N584),"")</f>
        <v>103.50019148712002</v>
      </c>
    </row>
    <row r="586" spans="1:14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9" t="s">
        <v>18</v>
      </c>
      <c r="N586" s="15">
        <f>IF(ISNUMBER(N585),(N585-69.8)*(113/118),"")</f>
        <v>32.272217271564088</v>
      </c>
    </row>
    <row r="588" spans="1:14" x14ac:dyDescent="0.25">
      <c r="A588" s="2" t="s">
        <v>54</v>
      </c>
      <c r="B588" s="4">
        <v>1505</v>
      </c>
      <c r="C588" s="4"/>
      <c r="D588" s="2" t="s">
        <v>54</v>
      </c>
      <c r="E588" s="4"/>
      <c r="F588" s="2" t="s">
        <v>52</v>
      </c>
      <c r="G588" s="4"/>
      <c r="H588" s="2" t="s">
        <v>53</v>
      </c>
      <c r="I588" s="2">
        <v>79</v>
      </c>
      <c r="J588" s="5" t="str">
        <f>IF(C588="A+",10,IF(C588="A",6.31,IF(C588="B",3.98,IF(C588="C",2.51,IF(C588="D",1.59,IF(C588="D-",1,""))))))</f>
        <v/>
      </c>
      <c r="K588" s="5" t="str">
        <f>IF(E588="A+",10,IF(E588="A",6.31,IF(E588="B",3.98,IF(E588="C",2.51,IF(E588="D",1.59,IF(E588="D-",1,""))))))</f>
        <v/>
      </c>
      <c r="L588" s="5" t="str">
        <f>IF(G588="A+",10,IF(G588="A",6.31,IF(G588="B",3.98,IF(G588="C",2.51,IF(G588="D",1.59,IF(G588="D-",1,""))))))</f>
        <v/>
      </c>
      <c r="M588" s="6" t="str">
        <f>IF(ISNUMBER(J588),J588/(J588+K588+L588),"")</f>
        <v/>
      </c>
      <c r="N588" s="7" t="str">
        <f>IF(ISNUMBER(M588),I588*(1+(1-M588)*0.475),"")</f>
        <v/>
      </c>
    </row>
    <row r="589" spans="1:14" x14ac:dyDescent="0.25">
      <c r="B589" s="4">
        <v>1508</v>
      </c>
      <c r="C589" s="4"/>
      <c r="D589" s="2" t="s">
        <v>54</v>
      </c>
      <c r="E589" s="4"/>
      <c r="G589" s="4"/>
      <c r="H589" s="2" t="s">
        <v>52</v>
      </c>
      <c r="I589" s="2">
        <v>79</v>
      </c>
      <c r="J589" s="5" t="str">
        <f>IF(C589="A+",10,IF(C589="A",6.31,IF(C589="B",3.98,IF(C589="C",2.51,IF(C589="D",1.59,IF(C589="D-",1,""))))))</f>
        <v/>
      </c>
      <c r="K589" s="5" t="str">
        <f>IF(E589="A+",10,IF(E589="A",6.31,IF(E589="B",3.98,IF(E589="C",2.51,IF(E589="D",1.59,IF(E589="D-",1,""))))))</f>
        <v/>
      </c>
      <c r="L589" s="5" t="str">
        <f>IF(G589="A+",10,IF(G589="A",6.31,IF(G589="B",3.98,IF(G589="C",2.51,IF(G589="D",1.59,IF(G589="D-",1,""))))))</f>
        <v/>
      </c>
      <c r="M589" s="6" t="str">
        <f>IF(ISNUMBER(J589),J589/(J589+K589+L589),"")</f>
        <v/>
      </c>
      <c r="N589" s="7" t="str">
        <f>IF(ISNUMBER(M589),I589*(1+(1-M589)*0.475),"")</f>
        <v/>
      </c>
    </row>
    <row r="590" spans="1:14" x14ac:dyDescent="0.25">
      <c r="B590" s="4">
        <v>1608</v>
      </c>
      <c r="C590" s="4"/>
      <c r="D590" s="2" t="s">
        <v>54</v>
      </c>
      <c r="E590" s="4"/>
      <c r="F590" s="2" t="s">
        <v>52</v>
      </c>
      <c r="G590" s="4"/>
      <c r="H590" s="2" t="s">
        <v>53</v>
      </c>
      <c r="I590" s="2">
        <v>73</v>
      </c>
      <c r="J590" s="5" t="str">
        <f>IF(C590="A+",10,IF(C590="A",6.31,IF(C590="B",3.98,IF(C590="C",2.51,IF(C590="D",1.59,IF(C590="D-",1,""))))))</f>
        <v/>
      </c>
      <c r="K590" s="5" t="str">
        <f>IF(E590="A+",10,IF(E590="A",6.31,IF(E590="B",3.98,IF(E590="C",2.51,IF(E590="D",1.59,IF(E590="D-",1,""))))))</f>
        <v/>
      </c>
      <c r="L590" s="5" t="str">
        <f>IF(G590="A+",10,IF(G590="A",6.31,IF(G590="B",3.98,IF(G590="C",2.51,IF(G590="D",1.59,IF(G590="D-",1,""))))))</f>
        <v/>
      </c>
      <c r="M590" s="6" t="str">
        <f>IF(ISNUMBER(J590),J590/(J590+K590+L590),"")</f>
        <v/>
      </c>
      <c r="N590" s="7" t="str">
        <f>IF(ISNUMBER(M590),I590*(1+(1-M590)*0.475),"")</f>
        <v/>
      </c>
    </row>
    <row r="591" spans="1:14" x14ac:dyDescent="0.25">
      <c r="B591" s="4">
        <v>1705</v>
      </c>
      <c r="C591" s="4"/>
      <c r="D591" s="2" t="s">
        <v>54</v>
      </c>
      <c r="E591" s="4"/>
      <c r="F591" s="2" t="s">
        <v>52</v>
      </c>
      <c r="G591" s="4"/>
      <c r="H591" s="2" t="s">
        <v>53</v>
      </c>
      <c r="I591" s="2">
        <v>73</v>
      </c>
      <c r="J591" s="5" t="str">
        <f>IF(C591="A+",10,IF(C591="A",6.31,IF(C591="B",3.98,IF(C591="C",2.51,IF(C591="D",1.59,IF(C591="D-",1,""))))))</f>
        <v/>
      </c>
      <c r="K591" s="5" t="str">
        <f>IF(E591="A+",10,IF(E591="A",6.31,IF(E591="B",3.98,IF(E591="C",2.51,IF(E591="D",1.59,IF(E591="D-",1,""))))))</f>
        <v/>
      </c>
      <c r="L591" s="5" t="str">
        <f>IF(G591="A+",10,IF(G591="A",6.31,IF(G591="B",3.98,IF(G591="C",2.51,IF(G591="D",1.59,IF(G591="D-",1,""))))))</f>
        <v/>
      </c>
      <c r="M591" s="6" t="str">
        <f>IF(ISNUMBER(J591),J591/(J591+K591+L591),"")</f>
        <v/>
      </c>
      <c r="N591" s="7" t="str">
        <f>IF(ISNUMBER(M591),I591*(1+(1-M591)*0.475),"")</f>
        <v/>
      </c>
    </row>
    <row r="592" spans="1:14" x14ac:dyDescent="0.25">
      <c r="B592" s="4">
        <v>1805</v>
      </c>
      <c r="C592" s="4"/>
      <c r="D592" s="2" t="s">
        <v>54</v>
      </c>
      <c r="E592" s="4"/>
      <c r="F592" s="2" t="s">
        <v>52</v>
      </c>
      <c r="G592" s="4"/>
      <c r="H592" s="2" t="s">
        <v>53</v>
      </c>
      <c r="I592" s="2">
        <v>73</v>
      </c>
      <c r="J592" s="5" t="str">
        <f>IF(C592="A+",10,IF(C592="A",6.31,IF(C592="B",3.98,IF(C592="C",2.51,IF(C592="D",1.59,IF(C592="D-",1,""))))))</f>
        <v/>
      </c>
      <c r="K592" s="5" t="str">
        <f>IF(E592="A+",10,IF(E592="A",6.31,IF(E592="B",3.98,IF(E592="C",2.51,IF(E592="D",1.59,IF(E592="D-",1,""))))))</f>
        <v/>
      </c>
      <c r="L592" s="5" t="str">
        <f>IF(G592="A+",10,IF(G592="A",6.31,IF(G592="B",3.98,IF(G592="C",2.51,IF(G592="D",1.59,IF(G592="D-",1,""))))))</f>
        <v/>
      </c>
      <c r="M592" s="6" t="str">
        <f>IF(ISNUMBER(J592),J592/(J592+K592+L592),"")</f>
        <v/>
      </c>
      <c r="N592" s="7" t="str">
        <f>IF(ISNUMBER(M592),I592*(1+(1-M592)*0.475),"")</f>
        <v/>
      </c>
    </row>
    <row r="593" spans="1:14" x14ac:dyDescent="0.25">
      <c r="M593" s="3" t="s">
        <v>17</v>
      </c>
      <c r="N593" s="8" t="str">
        <f>IF(ISNUMBER(M592),AVERAGE(N588:N592),"")</f>
        <v/>
      </c>
    </row>
    <row r="594" spans="1:14" x14ac:dyDescent="0.25">
      <c r="M594" s="3" t="s">
        <v>18</v>
      </c>
      <c r="N594" s="8" t="str">
        <f>IF(ISNUMBER(N593),(N593-69.8)*(113/118),"")</f>
        <v/>
      </c>
    </row>
    <row r="596" spans="1:14" x14ac:dyDescent="0.25">
      <c r="A596" s="79" t="s">
        <v>132</v>
      </c>
      <c r="B596" s="80">
        <v>1505</v>
      </c>
      <c r="C596" s="80" t="s">
        <v>135</v>
      </c>
      <c r="D596" s="79" t="s">
        <v>132</v>
      </c>
      <c r="E596" s="80" t="s">
        <v>135</v>
      </c>
      <c r="F596" s="79" t="s">
        <v>133</v>
      </c>
      <c r="G596" s="80" t="s">
        <v>135</v>
      </c>
      <c r="H596" s="79" t="s">
        <v>134</v>
      </c>
      <c r="I596" s="79">
        <v>76</v>
      </c>
      <c r="J596" s="81">
        <f>IF(C596="A+",10,IF(C596="A",6.31,IF(C596="B",3.98,IF(C596="C",2.51,IF(C596="D",1.59,IF(C596="D-",1,""))))))</f>
        <v>3.98</v>
      </c>
      <c r="K596" s="81">
        <f>IF(E596="A+",10,IF(E596="A",6.31,IF(E596="B",3.98,IF(E596="C",2.51,IF(E596="D",1.59,IF(E596="D-",1,""))))))</f>
        <v>3.98</v>
      </c>
      <c r="L596" s="81">
        <f>IF(G596="A+",10,IF(G596="A",6.31,IF(G596="B",3.98,IF(G596="C",2.51,IF(G596="D",1.59,IF(G596="D-",1,""))))))</f>
        <v>3.98</v>
      </c>
      <c r="M596" s="82">
        <f>IF(ISNUMBER(J596),J596/(J596+K596+L596),"")</f>
        <v>0.33333333333333337</v>
      </c>
      <c r="N596" s="83">
        <f>IF(ISNUMBER(M596),I596*(1+(1-M596)*0.475),"")</f>
        <v>100.06666666666666</v>
      </c>
    </row>
    <row r="597" spans="1:14" x14ac:dyDescent="0.25">
      <c r="A597" s="79"/>
      <c r="B597" s="80">
        <v>1508</v>
      </c>
      <c r="C597" s="80" t="s">
        <v>135</v>
      </c>
      <c r="D597" s="79" t="s">
        <v>132</v>
      </c>
      <c r="E597" s="80" t="s">
        <v>135</v>
      </c>
      <c r="F597" s="79" t="s">
        <v>133</v>
      </c>
      <c r="G597" s="80" t="s">
        <v>135</v>
      </c>
      <c r="H597" s="79" t="s">
        <v>134</v>
      </c>
      <c r="I597" s="79">
        <v>70</v>
      </c>
      <c r="J597" s="81">
        <f>IF(C597="A+",10,IF(C597="A",6.31,IF(C597="B",3.98,IF(C597="C",2.51,IF(C597="D",1.59,IF(C597="D-",1,""))))))</f>
        <v>3.98</v>
      </c>
      <c r="K597" s="81">
        <f>IF(E597="A+",10,IF(E597="A",6.31,IF(E597="B",3.98,IF(E597="C",2.51,IF(E597="D",1.59,IF(E597="D-",1,""))))))</f>
        <v>3.98</v>
      </c>
      <c r="L597" s="81">
        <f>IF(G597="A+",10,IF(G597="A",6.31,IF(G597="B",3.98,IF(G597="C",2.51,IF(G597="D",1.59,IF(G597="D-",1,""))))))</f>
        <v>3.98</v>
      </c>
      <c r="M597" s="82">
        <f>IF(ISNUMBER(J597),J597/(J597+K597+L597),"")</f>
        <v>0.33333333333333337</v>
      </c>
      <c r="N597" s="83">
        <f>IF(ISNUMBER(M597),I597*(1+(1-M597)*0.475),"")</f>
        <v>92.166666666666671</v>
      </c>
    </row>
    <row r="598" spans="1:14" x14ac:dyDescent="0.25">
      <c r="A598" s="79"/>
      <c r="B598" s="80">
        <v>1705</v>
      </c>
      <c r="C598" s="80" t="s">
        <v>135</v>
      </c>
      <c r="D598" s="79" t="s">
        <v>132</v>
      </c>
      <c r="E598" s="80" t="s">
        <v>135</v>
      </c>
      <c r="F598" s="79" t="s">
        <v>30</v>
      </c>
      <c r="G598" s="80" t="s">
        <v>135</v>
      </c>
      <c r="H598" s="79" t="s">
        <v>134</v>
      </c>
      <c r="I598" s="79">
        <v>73</v>
      </c>
      <c r="J598" s="81">
        <f>IF(C598="A+",10,IF(C598="A",6.31,IF(C598="B",3.98,IF(C598="C",2.51,IF(C598="D",1.59,IF(C598="D-",1,""))))))</f>
        <v>3.98</v>
      </c>
      <c r="K598" s="81">
        <f>IF(E598="A+",10,IF(E598="A",6.31,IF(E598="B",3.98,IF(E598="C",2.51,IF(E598="D",1.59,IF(E598="D-",1,""))))))</f>
        <v>3.98</v>
      </c>
      <c r="L598" s="81">
        <f>IF(G598="A+",10,IF(G598="A",6.31,IF(G598="B",3.98,IF(G598="C",2.51,IF(G598="D",1.59,IF(G598="D-",1,""))))))</f>
        <v>3.98</v>
      </c>
      <c r="M598" s="82">
        <f>IF(ISNUMBER(J598),J598/(J598+K598+L598),"")</f>
        <v>0.33333333333333337</v>
      </c>
      <c r="N598" s="83">
        <f>IF(ISNUMBER(M598),I598*(1+(1-M598)*0.475),"")</f>
        <v>96.11666666666666</v>
      </c>
    </row>
    <row r="599" spans="1:14" x14ac:dyDescent="0.25">
      <c r="A599" s="79"/>
      <c r="B599" s="80">
        <v>1805</v>
      </c>
      <c r="C599" s="80" t="s">
        <v>135</v>
      </c>
      <c r="D599" s="79" t="s">
        <v>132</v>
      </c>
      <c r="E599" s="80" t="s">
        <v>135</v>
      </c>
      <c r="F599" s="79" t="s">
        <v>133</v>
      </c>
      <c r="G599" s="80" t="s">
        <v>135</v>
      </c>
      <c r="H599" s="79" t="s">
        <v>134</v>
      </c>
      <c r="I599" s="79">
        <v>70</v>
      </c>
      <c r="J599" s="81">
        <f>IF(C599="A+",10,IF(C599="A",6.31,IF(C599="B",3.98,IF(C599="C",2.51,IF(C599="D",1.59,IF(C599="D-",1,""))))))</f>
        <v>3.98</v>
      </c>
      <c r="K599" s="81">
        <f>IF(E599="A+",10,IF(E599="A",6.31,IF(E599="B",3.98,IF(E599="C",2.51,IF(E599="D",1.59,IF(E599="D-",1,""))))))</f>
        <v>3.98</v>
      </c>
      <c r="L599" s="81">
        <f>IF(G599="A+",10,IF(G599="A",6.31,IF(G599="B",3.98,IF(G599="C",2.51,IF(G599="D",1.59,IF(G599="D-",1,""))))))</f>
        <v>3.98</v>
      </c>
      <c r="M599" s="82">
        <f>IF(ISNUMBER(J599),J599/(J599+K599+L599),"")</f>
        <v>0.33333333333333337</v>
      </c>
      <c r="N599" s="83">
        <f>IF(ISNUMBER(M599),I599*(1+(1-M599)*0.475),"")</f>
        <v>92.166666666666671</v>
      </c>
    </row>
    <row r="600" spans="1:14" x14ac:dyDescent="0.25">
      <c r="A600" s="79"/>
      <c r="B600" s="80">
        <v>1808</v>
      </c>
      <c r="C600" s="80" t="s">
        <v>135</v>
      </c>
      <c r="D600" s="79" t="s">
        <v>132</v>
      </c>
      <c r="E600" s="80" t="s">
        <v>135</v>
      </c>
      <c r="F600" s="79" t="s">
        <v>30</v>
      </c>
      <c r="G600" s="80" t="s">
        <v>135</v>
      </c>
      <c r="H600" s="79" t="s">
        <v>134</v>
      </c>
      <c r="I600" s="79">
        <v>76</v>
      </c>
      <c r="J600" s="81">
        <f>IF(C600="A+",10,IF(C600="A",6.31,IF(C600="B",3.98,IF(C600="C",2.51,IF(C600="D",1.59,IF(C600="D-",1,""))))))</f>
        <v>3.98</v>
      </c>
      <c r="K600" s="81">
        <f>IF(E600="A+",10,IF(E600="A",6.31,IF(E600="B",3.98,IF(E600="C",2.51,IF(E600="D",1.59,IF(E600="D-",1,""))))))</f>
        <v>3.98</v>
      </c>
      <c r="L600" s="81">
        <f>IF(G600="A+",10,IF(G600="A",6.31,IF(G600="B",3.98,IF(G600="C",2.51,IF(G600="D",1.59,IF(G600="D-",1,""))))))</f>
        <v>3.98</v>
      </c>
      <c r="M600" s="82">
        <f>IF(ISNUMBER(J600),J600/(J600+K600+L600),"")</f>
        <v>0.33333333333333337</v>
      </c>
      <c r="N600" s="83">
        <f>IF(ISNUMBER(M600),I600*(1+(1-M600)*0.475),"")</f>
        <v>100.06666666666666</v>
      </c>
    </row>
    <row r="601" spans="1:14" x14ac:dyDescent="0.25">
      <c r="A601" s="79"/>
      <c r="B601" s="79"/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84" t="s">
        <v>17</v>
      </c>
      <c r="N601" s="85">
        <f>IF(ISNUMBER(M600),AVERAGE(N596:N600),"")</f>
        <v>96.116666666666674</v>
      </c>
    </row>
    <row r="602" spans="1:14" x14ac:dyDescent="0.25">
      <c r="A602" s="79"/>
      <c r="B602" s="79"/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84" t="s">
        <v>18</v>
      </c>
      <c r="N602" s="85">
        <f>IF(ISNUMBER(N601),(N601-69.8)*(113/118),"")</f>
        <v>25.201553672316393</v>
      </c>
    </row>
    <row r="604" spans="1:14" x14ac:dyDescent="0.25">
      <c r="A604" s="2" t="s">
        <v>118</v>
      </c>
      <c r="B604" s="4">
        <v>1505</v>
      </c>
      <c r="C604" s="4"/>
      <c r="D604" s="2" t="s">
        <v>118</v>
      </c>
      <c r="E604" s="4"/>
      <c r="F604" s="2" t="s">
        <v>60</v>
      </c>
      <c r="G604" s="4"/>
      <c r="H604" s="2" t="s">
        <v>119</v>
      </c>
      <c r="I604" s="2">
        <v>83</v>
      </c>
      <c r="J604" s="5" t="str">
        <f>IF(C604="A+",10,IF(C604="A",6.31,IF(C604="B",3.98,IF(C604="C",2.51,IF(C604="D",1.59,IF(C604="D-",1,""))))))</f>
        <v/>
      </c>
      <c r="K604" s="5" t="str">
        <f>IF(E604="A+",10,IF(E604="A",6.31,IF(E604="B",3.98,IF(E604="C",2.51,IF(E604="D",1.59,IF(E604="D-",1,""))))))</f>
        <v/>
      </c>
      <c r="L604" s="5" t="str">
        <f>IF(G604="A+",10,IF(G604="A",6.31,IF(G604="B",3.98,IF(G604="C",2.51,IF(G604="D",1.59,IF(G604="D-",1,""))))))</f>
        <v/>
      </c>
      <c r="M604" s="6" t="str">
        <f>IF(ISNUMBER(J604),J604/(J604+K604+L604),"")</f>
        <v/>
      </c>
      <c r="N604" s="7" t="str">
        <f>IF(ISNUMBER(M604),I604*(1+(1-M604)*0.475),"")</f>
        <v/>
      </c>
    </row>
    <row r="605" spans="1:14" x14ac:dyDescent="0.25">
      <c r="B605" s="4">
        <v>1508</v>
      </c>
      <c r="C605" s="4"/>
      <c r="D605" s="2" t="s">
        <v>118</v>
      </c>
      <c r="E605" s="4"/>
      <c r="F605" s="2" t="s">
        <v>60</v>
      </c>
      <c r="G605" s="4"/>
      <c r="H605" s="2" t="s">
        <v>120</v>
      </c>
      <c r="I605" s="2">
        <v>75</v>
      </c>
      <c r="J605" s="5" t="str">
        <f>IF(C605="A+",10,IF(C605="A",6.31,IF(C605="B",3.98,IF(C605="C",2.51,IF(C605="D",1.59,IF(C605="D-",1,""))))))</f>
        <v/>
      </c>
      <c r="K605" s="5" t="str">
        <f>IF(E605="A+",10,IF(E605="A",6.31,IF(E605="B",3.98,IF(E605="C",2.51,IF(E605="D",1.59,IF(E605="D-",1,""))))))</f>
        <v/>
      </c>
      <c r="L605" s="5" t="str">
        <f>IF(G605="A+",10,IF(G605="A",6.31,IF(G605="B",3.98,IF(G605="C",2.51,IF(G605="D",1.59,IF(G605="D-",1,""))))))</f>
        <v/>
      </c>
      <c r="M605" s="6" t="str">
        <f>IF(ISNUMBER(J605),J605/(J605+K605+L605),"")</f>
        <v/>
      </c>
      <c r="N605" s="7" t="str">
        <f>IF(ISNUMBER(M605),I605*(1+(1-M605)*0.475),"")</f>
        <v/>
      </c>
    </row>
    <row r="606" spans="1:14" x14ac:dyDescent="0.25">
      <c r="M606" s="3" t="s">
        <v>17</v>
      </c>
      <c r="N606" s="8" t="str">
        <f>IF(ISNUMBER(M605),AVERAGE(N604:N605),"")</f>
        <v/>
      </c>
    </row>
    <row r="607" spans="1:14" x14ac:dyDescent="0.25">
      <c r="M607" s="3" t="s">
        <v>18</v>
      </c>
      <c r="N607" s="8" t="str">
        <f>IF(ISNUMBER(N606),(N606-69.8)*(113/118),"")</f>
        <v/>
      </c>
    </row>
    <row r="609" spans="1:14" x14ac:dyDescent="0.25">
      <c r="A609" s="2" t="s">
        <v>50</v>
      </c>
      <c r="B609" s="4">
        <v>1808</v>
      </c>
      <c r="C609" s="4"/>
      <c r="D609" s="2" t="s">
        <v>50</v>
      </c>
      <c r="E609" s="4"/>
      <c r="F609" s="2" t="s">
        <v>42</v>
      </c>
      <c r="G609" s="4"/>
      <c r="H609" s="2" t="s">
        <v>49</v>
      </c>
      <c r="I609" s="2">
        <v>68</v>
      </c>
      <c r="J609" s="5" t="str">
        <f>IF(C609="A+",10,IF(C609="A",6.31,IF(C609="B",3.98,IF(C609="C",2.51,IF(C609="D",1.59,IF(C609="D-",1,""))))))</f>
        <v/>
      </c>
      <c r="K609" s="5" t="str">
        <f>IF(E609="A+",10,IF(E609="A",6.31,IF(E609="B",3.98,IF(E609="C",2.51,IF(E609="D",1.59,IF(E609="D-",1,""))))))</f>
        <v/>
      </c>
      <c r="L609" s="5" t="str">
        <f>IF(G609="A+",10,IF(G609="A",6.31,IF(G609="B",3.98,IF(G609="C",2.51,IF(G609="D",1.59,IF(G609="D-",1,""))))))</f>
        <v/>
      </c>
      <c r="M609" s="6" t="str">
        <f>IF(ISNUMBER(J609),J609/(J609+K609+L609),"")</f>
        <v/>
      </c>
      <c r="N609" s="7" t="str">
        <f>IF(ISNUMBER(M609),I609*(1+(1-M609)*0.475),"")</f>
        <v/>
      </c>
    </row>
    <row r="610" spans="1:14" x14ac:dyDescent="0.25">
      <c r="M610" s="3" t="s">
        <v>17</v>
      </c>
      <c r="N610" s="8" t="str">
        <f>IF(ISNUMBER(M609),AVERAGE(N609:N609),"")</f>
        <v/>
      </c>
    </row>
    <row r="611" spans="1:14" x14ac:dyDescent="0.25">
      <c r="M611" s="3" t="s">
        <v>18</v>
      </c>
      <c r="N611" s="8" t="str">
        <f>IF(ISNUMBER(N610),(N610-69.8)*(113/118),"")</f>
        <v/>
      </c>
    </row>
    <row r="613" spans="1:14" x14ac:dyDescent="0.25">
      <c r="A613" s="2" t="s">
        <v>120</v>
      </c>
      <c r="B613" s="4">
        <v>1508</v>
      </c>
      <c r="C613" s="4"/>
      <c r="D613" s="2" t="s">
        <v>120</v>
      </c>
      <c r="E613" s="4"/>
      <c r="F613" s="2" t="s">
        <v>60</v>
      </c>
      <c r="G613" s="4"/>
      <c r="H613" s="2" t="s">
        <v>118</v>
      </c>
      <c r="I613" s="2">
        <v>75</v>
      </c>
      <c r="J613" s="5" t="str">
        <f>IF(C613="A+",10,IF(C613="A",6.31,IF(C613="B",3.98,IF(C613="C",2.51,IF(C613="D",1.59,IF(C613="D-",1,""))))))</f>
        <v/>
      </c>
      <c r="K613" s="5" t="str">
        <f>IF(E613="A+",10,IF(E613="A",6.31,IF(E613="B",3.98,IF(E613="C",2.51,IF(E613="D",1.59,IF(E613="D-",1,""))))))</f>
        <v/>
      </c>
      <c r="L613" s="5" t="str">
        <f>IF(G613="A+",10,IF(G613="A",6.31,IF(G613="B",3.98,IF(G613="C",2.51,IF(G613="D",1.59,IF(G613="D-",1,""))))))</f>
        <v/>
      </c>
      <c r="M613" s="6" t="str">
        <f>IF(ISNUMBER(J613),J613/(J613+K613+L613),"")</f>
        <v/>
      </c>
      <c r="N613" s="7" t="str">
        <f>IF(ISNUMBER(M613),I613*(1+(1-M613)*0.475),"")</f>
        <v/>
      </c>
    </row>
    <row r="614" spans="1:14" x14ac:dyDescent="0.25">
      <c r="M614" s="3" t="s">
        <v>17</v>
      </c>
      <c r="N614" s="8" t="str">
        <f>IF(ISNUMBER(M613),AVERAGE(N613:N613),"")</f>
        <v/>
      </c>
    </row>
    <row r="615" spans="1:14" x14ac:dyDescent="0.25">
      <c r="M615" s="3" t="s">
        <v>18</v>
      </c>
      <c r="N615" s="8" t="str">
        <f>IF(ISNUMBER(N614),(N614-69.8)*(113/118),"")</f>
        <v/>
      </c>
    </row>
    <row r="617" spans="1:14" x14ac:dyDescent="0.25">
      <c r="A617" s="2" t="s">
        <v>30</v>
      </c>
      <c r="B617" s="4">
        <v>1505</v>
      </c>
      <c r="C617" s="4"/>
      <c r="D617" s="2" t="s">
        <v>30</v>
      </c>
      <c r="E617" s="4"/>
      <c r="F617" s="2" t="s">
        <v>63</v>
      </c>
      <c r="G617" s="4"/>
      <c r="H617" s="2" t="s">
        <v>64</v>
      </c>
      <c r="I617" s="2">
        <v>71</v>
      </c>
      <c r="J617" s="5" t="str">
        <f>IF(C617="A+",10,IF(C617="A",6.31,IF(C617="B",3.98,IF(C617="C",2.51,IF(C617="D",1.59,IF(C617="D-",1,""))))))</f>
        <v/>
      </c>
      <c r="K617" s="5" t="str">
        <f>IF(E617="A+",10,IF(E617="A",6.31,IF(E617="B",3.98,IF(E617="C",2.51,IF(E617="D",1.59,IF(E617="D-",1,""))))))</f>
        <v/>
      </c>
      <c r="L617" s="5" t="str">
        <f>IF(G617="A+",10,IF(G617="A",6.31,IF(G617="B",3.98,IF(G617="C",2.51,IF(G617="D",1.59,IF(G617="D-",1,""))))))</f>
        <v/>
      </c>
      <c r="M617" s="6" t="str">
        <f>IF(ISNUMBER(J617),J617/(J617+K617+L617),"")</f>
        <v/>
      </c>
      <c r="N617" s="7" t="str">
        <f>IF(ISNUMBER(M617),I617*(1+(1-M617)*0.475),"")</f>
        <v/>
      </c>
    </row>
    <row r="618" spans="1:14" x14ac:dyDescent="0.25">
      <c r="B618" s="4">
        <v>1705</v>
      </c>
      <c r="C618" s="4"/>
      <c r="D618" s="2" t="s">
        <v>30</v>
      </c>
      <c r="E618" s="4"/>
      <c r="F618" s="2" t="s">
        <v>132</v>
      </c>
      <c r="G618" s="4"/>
      <c r="H618" s="2" t="s">
        <v>134</v>
      </c>
      <c r="I618" s="2">
        <v>73</v>
      </c>
      <c r="J618" s="5" t="str">
        <f>IF(C618="A+",10,IF(C618="A",6.31,IF(C618="B",3.98,IF(C618="C",2.51,IF(C618="D",1.59,IF(C618="D-",1,""))))))</f>
        <v/>
      </c>
      <c r="K618" s="5" t="str">
        <f>IF(E618="A+",10,IF(E618="A",6.31,IF(E618="B",3.98,IF(E618="C",2.51,IF(E618="D",1.59,IF(E618="D-",1,""))))))</f>
        <v/>
      </c>
      <c r="L618" s="5" t="str">
        <f>IF(G618="A+",10,IF(G618="A",6.31,IF(G618="B",3.98,IF(G618="C",2.51,IF(G618="D",1.59,IF(G618="D-",1,""))))))</f>
        <v/>
      </c>
      <c r="M618" s="6" t="str">
        <f>IF(ISNUMBER(J618),J618/(J618+K618+L618),"")</f>
        <v/>
      </c>
      <c r="N618" s="7" t="str">
        <f>IF(ISNUMBER(M618),I618*(1+(1-M618)*0.475),"")</f>
        <v/>
      </c>
    </row>
    <row r="619" spans="1:14" x14ac:dyDescent="0.25">
      <c r="B619" s="4">
        <v>1805</v>
      </c>
      <c r="C619" s="4"/>
      <c r="D619" s="2" t="s">
        <v>30</v>
      </c>
      <c r="E619" s="4"/>
      <c r="F619" s="2" t="s">
        <v>26</v>
      </c>
      <c r="G619" s="4"/>
      <c r="H619" s="2" t="s">
        <v>28</v>
      </c>
      <c r="I619" s="2">
        <v>72</v>
      </c>
      <c r="J619" s="5" t="str">
        <f>IF(C619="A+",10,IF(C619="A",6.31,IF(C619="B",3.98,IF(C619="C",2.51,IF(C619="D",1.59,IF(C619="D-",1,""))))))</f>
        <v/>
      </c>
      <c r="K619" s="5" t="str">
        <f>IF(E619="A+",10,IF(E619="A",6.31,IF(E619="B",3.98,IF(E619="C",2.51,IF(E619="D",1.59,IF(E619="D-",1,""))))))</f>
        <v/>
      </c>
      <c r="L619" s="5" t="str">
        <f>IF(G619="A+",10,IF(G619="A",6.31,IF(G619="B",3.98,IF(G619="C",2.51,IF(G619="D",1.59,IF(G619="D-",1,""))))))</f>
        <v/>
      </c>
      <c r="M619" s="6" t="str">
        <f>IF(ISNUMBER(J619),J619/(J619+K619+L619),"")</f>
        <v/>
      </c>
      <c r="N619" s="7" t="str">
        <f>IF(ISNUMBER(M619),I619*(1+(1-M619)*0.475),"")</f>
        <v/>
      </c>
    </row>
    <row r="620" spans="1:14" x14ac:dyDescent="0.25">
      <c r="B620" s="4">
        <v>1808</v>
      </c>
      <c r="C620" s="4"/>
      <c r="D620" s="2" t="s">
        <v>30</v>
      </c>
      <c r="E620" s="4"/>
      <c r="F620" s="2" t="s">
        <v>132</v>
      </c>
      <c r="G620" s="4"/>
      <c r="H620" s="2" t="s">
        <v>134</v>
      </c>
      <c r="I620" s="2">
        <v>76</v>
      </c>
      <c r="J620" s="5" t="str">
        <f>IF(C620="A+",10,IF(C620="A",6.31,IF(C620="B",3.98,IF(C620="C",2.51,IF(C620="D",1.59,IF(C620="D-",1,""))))))</f>
        <v/>
      </c>
      <c r="K620" s="5" t="str">
        <f>IF(E620="A+",10,IF(E620="A",6.31,IF(E620="B",3.98,IF(E620="C",2.51,IF(E620="D",1.59,IF(E620="D-",1,""))))))</f>
        <v/>
      </c>
      <c r="L620" s="5" t="str">
        <f>IF(G620="A+",10,IF(G620="A",6.31,IF(G620="B",3.98,IF(G620="C",2.51,IF(G620="D",1.59,IF(G620="D-",1,""))))))</f>
        <v/>
      </c>
      <c r="M620" s="6" t="str">
        <f>IF(ISNUMBER(J620),J620/(J620+K620+L620),"")</f>
        <v/>
      </c>
      <c r="N620" s="7" t="str">
        <f>IF(ISNUMBER(M620),I620*(1+(1-M620)*0.475),"")</f>
        <v/>
      </c>
    </row>
    <row r="621" spans="1:14" x14ac:dyDescent="0.25">
      <c r="M621" s="3" t="s">
        <v>17</v>
      </c>
      <c r="N621" s="8" t="str">
        <f>IF(ISNUMBER(M620),AVERAGE(N617:N620),"")</f>
        <v/>
      </c>
    </row>
    <row r="622" spans="1:14" x14ac:dyDescent="0.25">
      <c r="M622" s="3" t="s">
        <v>18</v>
      </c>
      <c r="N622" s="8" t="str">
        <f>IF(ISNUMBER(N621),(N621-69.8)*(113/118),"")</f>
        <v/>
      </c>
    </row>
    <row r="624" spans="1:14" x14ac:dyDescent="0.25">
      <c r="A624" s="2" t="s">
        <v>119</v>
      </c>
      <c r="B624" s="4">
        <v>1505</v>
      </c>
      <c r="C624" s="4"/>
      <c r="D624" s="2" t="s">
        <v>119</v>
      </c>
      <c r="E624" s="4"/>
      <c r="F624" s="2" t="s">
        <v>60</v>
      </c>
      <c r="G624" s="4"/>
      <c r="H624" s="2" t="s">
        <v>118</v>
      </c>
      <c r="I624" s="2">
        <v>83</v>
      </c>
      <c r="J624" s="5" t="str">
        <f>IF(C624="A+",10,IF(C624="A",6.31,IF(C624="B",3.98,IF(C624="C",2.51,IF(C624="D",1.59,IF(C624="D-",1,""))))))</f>
        <v/>
      </c>
      <c r="K624" s="5" t="str">
        <f>IF(E624="A+",10,IF(E624="A",6.31,IF(E624="B",3.98,IF(E624="C",2.51,IF(E624="D",1.59,IF(E624="D-",1,""))))))</f>
        <v/>
      </c>
      <c r="L624" s="5" t="str">
        <f>IF(G624="A+",10,IF(G624="A",6.31,IF(G624="B",3.98,IF(G624="C",2.51,IF(G624="D",1.59,IF(G624="D-",1,""))))))</f>
        <v/>
      </c>
      <c r="M624" s="6" t="str">
        <f>IF(ISNUMBER(J624),J624/(J624+K624+L624),"")</f>
        <v/>
      </c>
      <c r="N624" s="7" t="str">
        <f>IF(ISNUMBER(M624),I624*(1+(1-M624)*0.475),"")</f>
        <v/>
      </c>
    </row>
    <row r="625" spans="1:14" x14ac:dyDescent="0.25">
      <c r="M625" s="3" t="s">
        <v>17</v>
      </c>
      <c r="N625" s="8" t="str">
        <f>IF(ISNUMBER(M624),AVERAGE(N624:N624),"")</f>
        <v/>
      </c>
    </row>
    <row r="626" spans="1:14" x14ac:dyDescent="0.25">
      <c r="M626" s="3" t="s">
        <v>18</v>
      </c>
      <c r="N626" s="8" t="str">
        <f>IF(ISNUMBER(N625),(N625-69.8)*(113/118),"")</f>
        <v/>
      </c>
    </row>
    <row r="628" spans="1:14" x14ac:dyDescent="0.25">
      <c r="A628" s="2" t="s">
        <v>133</v>
      </c>
      <c r="B628" s="4">
        <v>1505</v>
      </c>
      <c r="C628" s="4"/>
      <c r="D628" s="2" t="s">
        <v>133</v>
      </c>
      <c r="E628" s="4"/>
      <c r="F628" s="2" t="s">
        <v>132</v>
      </c>
      <c r="G628" s="4"/>
      <c r="H628" s="2" t="s">
        <v>134</v>
      </c>
      <c r="I628" s="2">
        <v>76</v>
      </c>
      <c r="J628" s="5" t="str">
        <f>IF(C628="A+",10,IF(C628="A",6.31,IF(C628="B",3.98,IF(C628="C",2.51,IF(C628="D",1.59,IF(C628="D-",1,""))))))</f>
        <v/>
      </c>
      <c r="K628" s="5" t="str">
        <f>IF(E628="A+",10,IF(E628="A",6.31,IF(E628="B",3.98,IF(E628="C",2.51,IF(E628="D",1.59,IF(E628="D-",1,""))))))</f>
        <v/>
      </c>
      <c r="L628" s="5" t="str">
        <f>IF(G628="A+",10,IF(G628="A",6.31,IF(G628="B",3.98,IF(G628="C",2.51,IF(G628="D",1.59,IF(G628="D-",1,""))))))</f>
        <v/>
      </c>
      <c r="M628" s="6" t="str">
        <f>IF(ISNUMBER(J628),J628/(J628+K628+L628),"")</f>
        <v/>
      </c>
      <c r="N628" s="7" t="str">
        <f>IF(ISNUMBER(M628),I628*(1+(1-M628)*0.475),"")</f>
        <v/>
      </c>
    </row>
    <row r="629" spans="1:14" x14ac:dyDescent="0.25">
      <c r="B629" s="4">
        <v>1508</v>
      </c>
      <c r="C629" s="4"/>
      <c r="D629" s="2" t="s">
        <v>133</v>
      </c>
      <c r="E629" s="4"/>
      <c r="F629" s="2" t="s">
        <v>132</v>
      </c>
      <c r="G629" s="4"/>
      <c r="H629" s="2" t="s">
        <v>134</v>
      </c>
      <c r="I629" s="2">
        <v>70</v>
      </c>
      <c r="J629" s="5" t="str">
        <f>IF(C629="A+",10,IF(C629="A",6.31,IF(C629="B",3.98,IF(C629="C",2.51,IF(C629="D",1.59,IF(C629="D-",1,""))))))</f>
        <v/>
      </c>
      <c r="K629" s="5" t="str">
        <f>IF(E629="A+",10,IF(E629="A",6.31,IF(E629="B",3.98,IF(E629="C",2.51,IF(E629="D",1.59,IF(E629="D-",1,""))))))</f>
        <v/>
      </c>
      <c r="L629" s="5" t="str">
        <f>IF(G629="A+",10,IF(G629="A",6.31,IF(G629="B",3.98,IF(G629="C",2.51,IF(G629="D",1.59,IF(G629="D-",1,""))))))</f>
        <v/>
      </c>
      <c r="M629" s="6" t="str">
        <f>IF(ISNUMBER(J629),J629/(J629+K629+L629),"")</f>
        <v/>
      </c>
      <c r="N629" s="7" t="str">
        <f>IF(ISNUMBER(M629),I629*(1+(1-M629)*0.475),"")</f>
        <v/>
      </c>
    </row>
    <row r="630" spans="1:14" x14ac:dyDescent="0.25">
      <c r="B630" s="4">
        <v>1805</v>
      </c>
      <c r="C630" s="4"/>
      <c r="D630" s="2" t="s">
        <v>133</v>
      </c>
      <c r="E630" s="4"/>
      <c r="F630" s="2" t="s">
        <v>132</v>
      </c>
      <c r="G630" s="4"/>
      <c r="H630" s="2" t="s">
        <v>134</v>
      </c>
      <c r="I630" s="2">
        <v>70</v>
      </c>
      <c r="J630" s="5" t="str">
        <f>IF(C630="A+",10,IF(C630="A",6.31,IF(C630="B",3.98,IF(C630="C",2.51,IF(C630="D",1.59,IF(C630="D-",1,""))))))</f>
        <v/>
      </c>
      <c r="K630" s="5" t="str">
        <f>IF(E630="A+",10,IF(E630="A",6.31,IF(E630="B",3.98,IF(E630="C",2.51,IF(E630="D",1.59,IF(E630="D-",1,""))))))</f>
        <v/>
      </c>
      <c r="L630" s="5" t="str">
        <f>IF(G630="A+",10,IF(G630="A",6.31,IF(G630="B",3.98,IF(G630="C",2.51,IF(G630="D",1.59,IF(G630="D-",1,""))))))</f>
        <v/>
      </c>
      <c r="M630" s="6" t="str">
        <f>IF(ISNUMBER(J630),J630/(J630+K630+L630),"")</f>
        <v/>
      </c>
      <c r="N630" s="7" t="str">
        <f>IF(ISNUMBER(M630),I630*(1+(1-M630)*0.475),"")</f>
        <v/>
      </c>
    </row>
    <row r="631" spans="1:14" x14ac:dyDescent="0.25">
      <c r="M631" s="3" t="s">
        <v>17</v>
      </c>
      <c r="N631" s="8" t="str">
        <f>IF(ISNUMBER(M630),AVERAGE(N628:N630),"")</f>
        <v/>
      </c>
    </row>
    <row r="632" spans="1:14" x14ac:dyDescent="0.25">
      <c r="M632" s="3" t="s">
        <v>18</v>
      </c>
      <c r="N632" s="8" t="str">
        <f>IF(ISNUMBER(N631),(N631-69.8)*(113/118),"")</f>
        <v/>
      </c>
    </row>
    <row r="634" spans="1:14" x14ac:dyDescent="0.25">
      <c r="A634" s="2" t="s">
        <v>134</v>
      </c>
      <c r="B634" s="4">
        <v>1505</v>
      </c>
      <c r="C634" s="4"/>
      <c r="D634" s="2" t="s">
        <v>134</v>
      </c>
      <c r="E634" s="4"/>
      <c r="F634" s="2" t="s">
        <v>132</v>
      </c>
      <c r="G634" s="4"/>
      <c r="H634" s="2" t="s">
        <v>133</v>
      </c>
      <c r="I634" s="2">
        <v>76</v>
      </c>
      <c r="J634" s="5" t="str">
        <f>IF(C634="A+",10,IF(C634="A",6.31,IF(C634="B",3.98,IF(C634="C",2.51,IF(C634="D",1.59,IF(C634="D-",1,""))))))</f>
        <v/>
      </c>
      <c r="K634" s="5" t="str">
        <f>IF(E634="A+",10,IF(E634="A",6.31,IF(E634="B",3.98,IF(E634="C",2.51,IF(E634="D",1.59,IF(E634="D-",1,""))))))</f>
        <v/>
      </c>
      <c r="L634" s="5" t="str">
        <f>IF(G634="A+",10,IF(G634="A",6.31,IF(G634="B",3.98,IF(G634="C",2.51,IF(G634="D",1.59,IF(G634="D-",1,""))))))</f>
        <v/>
      </c>
      <c r="M634" s="6" t="str">
        <f>IF(ISNUMBER(J634),J634/(J634+K634+L634),"")</f>
        <v/>
      </c>
      <c r="N634" s="7" t="str">
        <f>IF(ISNUMBER(M634),I634*(1+(1-M634)*0.475),"")</f>
        <v/>
      </c>
    </row>
    <row r="635" spans="1:14" x14ac:dyDescent="0.25">
      <c r="B635" s="4">
        <v>1508</v>
      </c>
      <c r="C635" s="4"/>
      <c r="D635" s="2" t="s">
        <v>134</v>
      </c>
      <c r="E635" s="4"/>
      <c r="F635" s="2" t="s">
        <v>132</v>
      </c>
      <c r="G635" s="4"/>
      <c r="H635" s="2" t="s">
        <v>133</v>
      </c>
      <c r="I635" s="2">
        <v>70</v>
      </c>
      <c r="J635" s="5" t="str">
        <f>IF(C635="A+",10,IF(C635="A",6.31,IF(C635="B",3.98,IF(C635="C",2.51,IF(C635="D",1.59,IF(C635="D-",1,""))))))</f>
        <v/>
      </c>
      <c r="K635" s="5" t="str">
        <f>IF(E635="A+",10,IF(E635="A",6.31,IF(E635="B",3.98,IF(E635="C",2.51,IF(E635="D",1.59,IF(E635="D-",1,""))))))</f>
        <v/>
      </c>
      <c r="L635" s="5" t="str">
        <f>IF(G635="A+",10,IF(G635="A",6.31,IF(G635="B",3.98,IF(G635="C",2.51,IF(G635="D",1.59,IF(G635="D-",1,""))))))</f>
        <v/>
      </c>
      <c r="M635" s="6" t="str">
        <f>IF(ISNUMBER(J635),J635/(J635+K635+L635),"")</f>
        <v/>
      </c>
      <c r="N635" s="7" t="str">
        <f>IF(ISNUMBER(M635),I635*(1+(1-M635)*0.475),"")</f>
        <v/>
      </c>
    </row>
    <row r="636" spans="1:14" x14ac:dyDescent="0.25">
      <c r="B636" s="4">
        <v>1705</v>
      </c>
      <c r="C636" s="4"/>
      <c r="D636" s="2" t="s">
        <v>134</v>
      </c>
      <c r="E636" s="4"/>
      <c r="F636" s="2" t="s">
        <v>132</v>
      </c>
      <c r="G636" s="4"/>
      <c r="H636" s="2" t="s">
        <v>30</v>
      </c>
      <c r="I636" s="2">
        <v>73</v>
      </c>
      <c r="J636" s="5" t="str">
        <f>IF(C636="A+",10,IF(C636="A",6.31,IF(C636="B",3.98,IF(C636="C",2.51,IF(C636="D",1.59,IF(C636="D-",1,""))))))</f>
        <v/>
      </c>
      <c r="K636" s="5" t="str">
        <f>IF(E636="A+",10,IF(E636="A",6.31,IF(E636="B",3.98,IF(E636="C",2.51,IF(E636="D",1.59,IF(E636="D-",1,""))))))</f>
        <v/>
      </c>
      <c r="L636" s="5" t="str">
        <f>IF(G636="A+",10,IF(G636="A",6.31,IF(G636="B",3.98,IF(G636="C",2.51,IF(G636="D",1.59,IF(G636="D-",1,""))))))</f>
        <v/>
      </c>
      <c r="M636" s="6" t="str">
        <f>IF(ISNUMBER(J636),J636/(J636+K636+L636),"")</f>
        <v/>
      </c>
      <c r="N636" s="7" t="str">
        <f>IF(ISNUMBER(M636),I636*(1+(1-M636)*0.475),"")</f>
        <v/>
      </c>
    </row>
    <row r="637" spans="1:14" x14ac:dyDescent="0.25">
      <c r="B637" s="4">
        <v>1805</v>
      </c>
      <c r="C637" s="4"/>
      <c r="D637" s="2" t="s">
        <v>134</v>
      </c>
      <c r="E637" s="4"/>
      <c r="F637" s="2" t="s">
        <v>132</v>
      </c>
      <c r="G637" s="4"/>
      <c r="H637" s="2" t="s">
        <v>133</v>
      </c>
      <c r="I637" s="2">
        <v>70</v>
      </c>
      <c r="J637" s="5" t="str">
        <f>IF(C637="A+",10,IF(C637="A",6.31,IF(C637="B",3.98,IF(C637="C",2.51,IF(C637="D",1.59,IF(C637="D-",1,""))))))</f>
        <v/>
      </c>
      <c r="K637" s="5" t="str">
        <f>IF(E637="A+",10,IF(E637="A",6.31,IF(E637="B",3.98,IF(E637="C",2.51,IF(E637="D",1.59,IF(E637="D-",1,""))))))</f>
        <v/>
      </c>
      <c r="L637" s="5" t="str">
        <f>IF(G637="A+",10,IF(G637="A",6.31,IF(G637="B",3.98,IF(G637="C",2.51,IF(G637="D",1.59,IF(G637="D-",1,""))))))</f>
        <v/>
      </c>
      <c r="M637" s="6" t="str">
        <f>IF(ISNUMBER(J637),J637/(J637+K637+L637),"")</f>
        <v/>
      </c>
      <c r="N637" s="7" t="str">
        <f>IF(ISNUMBER(M637),I637*(1+(1-M637)*0.475),"")</f>
        <v/>
      </c>
    </row>
    <row r="638" spans="1:14" x14ac:dyDescent="0.25">
      <c r="B638" s="4">
        <v>1808</v>
      </c>
      <c r="C638" s="4"/>
      <c r="D638" s="2" t="s">
        <v>134</v>
      </c>
      <c r="E638" s="4"/>
      <c r="F638" s="2" t="s">
        <v>132</v>
      </c>
      <c r="G638" s="4"/>
      <c r="H638" s="2" t="s">
        <v>30</v>
      </c>
      <c r="I638" s="2">
        <v>76</v>
      </c>
      <c r="J638" s="5" t="str">
        <f>IF(C638="A+",10,IF(C638="A",6.31,IF(C638="B",3.98,IF(C638="C",2.51,IF(C638="D",1.59,IF(C638="D-",1,""))))))</f>
        <v/>
      </c>
      <c r="K638" s="5" t="str">
        <f>IF(E638="A+",10,IF(E638="A",6.31,IF(E638="B",3.98,IF(E638="C",2.51,IF(E638="D",1.59,IF(E638="D-",1,""))))))</f>
        <v/>
      </c>
      <c r="L638" s="5" t="str">
        <f>IF(G638="A+",10,IF(G638="A",6.31,IF(G638="B",3.98,IF(G638="C",2.51,IF(G638="D",1.59,IF(G638="D-",1,""))))))</f>
        <v/>
      </c>
      <c r="M638" s="6" t="str">
        <f>IF(ISNUMBER(J638),J638/(J638+K638+L638),"")</f>
        <v/>
      </c>
      <c r="N638" s="7" t="str">
        <f>IF(ISNUMBER(M638),I638*(1+(1-M638)*0.475),"")</f>
        <v/>
      </c>
    </row>
    <row r="639" spans="1:14" x14ac:dyDescent="0.25">
      <c r="M639" s="3" t="s">
        <v>17</v>
      </c>
      <c r="N639" s="8" t="str">
        <f>IF(ISNUMBER(M638),AVERAGE(N634:N638),"")</f>
        <v/>
      </c>
    </row>
    <row r="640" spans="1:14" x14ac:dyDescent="0.25">
      <c r="M640" s="3" t="s">
        <v>18</v>
      </c>
      <c r="N640" s="8" t="str">
        <f>IF(ISNUMBER(N639),(N639-69.8)*(113/118),"")</f>
        <v/>
      </c>
    </row>
    <row r="642" spans="1:14" x14ac:dyDescent="0.25">
      <c r="A642" s="2" t="s">
        <v>64</v>
      </c>
      <c r="B642" s="4">
        <v>1505</v>
      </c>
      <c r="C642" s="4"/>
      <c r="D642" s="2" t="s">
        <v>64</v>
      </c>
      <c r="E642" s="4"/>
      <c r="F642" s="2" t="s">
        <v>63</v>
      </c>
      <c r="G642" s="4"/>
      <c r="H642" s="2" t="s">
        <v>30</v>
      </c>
      <c r="I642" s="2">
        <v>71</v>
      </c>
      <c r="J642" s="5" t="str">
        <f>IF(C642="A+",10,IF(C642="A",6.31,IF(C642="B",3.98,IF(C642="C",2.51,IF(C642="D",1.59,IF(C642="D-",1,""))))))</f>
        <v/>
      </c>
      <c r="K642" s="5" t="str">
        <f>IF(E642="A+",10,IF(E642="A",6.31,IF(E642="B",3.98,IF(E642="C",2.51,IF(E642="D",1.59,IF(E642="D-",1,""))))))</f>
        <v/>
      </c>
      <c r="L642" s="5" t="str">
        <f>IF(G642="A+",10,IF(G642="A",6.31,IF(G642="B",3.98,IF(G642="C",2.51,IF(G642="D",1.59,IF(G642="D-",1,""))))))</f>
        <v/>
      </c>
      <c r="M642" s="6" t="str">
        <f>IF(ISNUMBER(J642),J642/(J642+K642+L642),"")</f>
        <v/>
      </c>
      <c r="N642" s="7" t="str">
        <f>IF(ISNUMBER(M642),I642*(1+(1-M642)*0.475),"")</f>
        <v/>
      </c>
    </row>
    <row r="643" spans="1:14" x14ac:dyDescent="0.25">
      <c r="B643" s="4">
        <v>1608</v>
      </c>
      <c r="C643" s="4"/>
      <c r="D643" s="2" t="s">
        <v>64</v>
      </c>
      <c r="E643" s="4"/>
      <c r="F643" s="2" t="s">
        <v>45</v>
      </c>
      <c r="G643" s="4"/>
      <c r="H643" s="2" t="s">
        <v>63</v>
      </c>
      <c r="I643" s="2">
        <v>70</v>
      </c>
      <c r="J643" s="5" t="str">
        <f>IF(C643="A+",10,IF(C643="A",6.31,IF(C643="B",3.98,IF(C643="C",2.51,IF(C643="D",1.59,IF(C643="D-",1,""))))))</f>
        <v/>
      </c>
      <c r="K643" s="5" t="str">
        <f>IF(E643="A+",10,IF(E643="A",6.31,IF(E643="B",3.98,IF(E643="C",2.51,IF(E643="D",1.59,IF(E643="D-",1,""))))))</f>
        <v/>
      </c>
      <c r="L643" s="5" t="str">
        <f>IF(G643="A+",10,IF(G643="A",6.31,IF(G643="B",3.98,IF(G643="C",2.51,IF(G643="D",1.59,IF(G643="D-",1,""))))))</f>
        <v/>
      </c>
      <c r="M643" s="6" t="str">
        <f>IF(ISNUMBER(J643),J643/(J643+K643+L643),"")</f>
        <v/>
      </c>
      <c r="N643" s="7" t="str">
        <f>IF(ISNUMBER(M643),I643*(1+(1-M643)*0.475),"")</f>
        <v/>
      </c>
    </row>
    <row r="644" spans="1:14" x14ac:dyDescent="0.25">
      <c r="M644" s="3" t="s">
        <v>17</v>
      </c>
      <c r="N644" s="8" t="str">
        <f>IF(ISNUMBER(M643),AVERAGE(N642:N643),"")</f>
        <v/>
      </c>
    </row>
    <row r="645" spans="1:14" x14ac:dyDescent="0.25">
      <c r="M645" s="3" t="s">
        <v>18</v>
      </c>
      <c r="N645" s="8" t="str">
        <f>IF(ISNUMBER(N644),(N644-69.8)*(113/118),"")</f>
        <v/>
      </c>
    </row>
    <row r="647" spans="1:14" x14ac:dyDescent="0.25">
      <c r="A647" s="2" t="s">
        <v>116</v>
      </c>
      <c r="B647" s="4">
        <v>1705</v>
      </c>
      <c r="C647" s="4"/>
      <c r="D647" s="2" t="s">
        <v>116</v>
      </c>
      <c r="E647" s="4"/>
      <c r="F647" s="2" t="s">
        <v>80</v>
      </c>
      <c r="G647" s="4"/>
      <c r="H647" s="2" t="s">
        <v>81</v>
      </c>
      <c r="I647" s="2">
        <v>80</v>
      </c>
      <c r="J647" s="5" t="str">
        <f>IF(C647="A+",10,IF(C647="A",6.31,IF(C647="B",3.98,IF(C647="C",2.51,IF(C647="D",1.59,IF(C647="D-",1,""))))))</f>
        <v/>
      </c>
      <c r="K647" s="5" t="str">
        <f>IF(E647="A+",10,IF(E647="A",6.31,IF(E647="B",3.98,IF(E647="C",2.51,IF(E647="D",1.59,IF(E647="D-",1,""))))))</f>
        <v/>
      </c>
      <c r="L647" s="5" t="str">
        <f>IF(G647="A+",10,IF(G647="A",6.31,IF(G647="B",3.98,IF(G647="C",2.51,IF(G647="D",1.59,IF(G647="D-",1,""))))))</f>
        <v/>
      </c>
      <c r="M647" s="6" t="str">
        <f>IF(ISNUMBER(J647),J647/(J647+K647+L647),"")</f>
        <v/>
      </c>
      <c r="N647" s="7" t="str">
        <f>IF(ISNUMBER(M647),I647*(1+(1-M647)*0.475),"")</f>
        <v/>
      </c>
    </row>
    <row r="648" spans="1:14" x14ac:dyDescent="0.25">
      <c r="M648" s="3" t="s">
        <v>17</v>
      </c>
      <c r="N648" s="8" t="str">
        <f>IF(ISNUMBER(M647),AVERAGE(N647:N647),"")</f>
        <v/>
      </c>
    </row>
    <row r="649" spans="1:14" x14ac:dyDescent="0.25">
      <c r="M649" s="3" t="s">
        <v>18</v>
      </c>
      <c r="N649" s="8" t="str">
        <f>IF(ISNUMBER(N648),(N648-69.8)*(113/118),"")</f>
        <v/>
      </c>
    </row>
    <row r="651" spans="1:14" x14ac:dyDescent="0.25">
      <c r="A651" s="2" t="s">
        <v>44</v>
      </c>
      <c r="B651" s="4">
        <v>1505</v>
      </c>
      <c r="C651" s="4"/>
      <c r="D651" s="2" t="s">
        <v>44</v>
      </c>
      <c r="E651" s="4"/>
      <c r="F651" s="2" t="s">
        <v>42</v>
      </c>
      <c r="G651" s="4"/>
      <c r="H651" s="2" t="s">
        <v>43</v>
      </c>
      <c r="I651" s="2">
        <v>58</v>
      </c>
      <c r="J651" s="5" t="str">
        <f>IF(C651="A+",10,IF(C651="A",6.31,IF(C651="B",3.98,IF(C651="C",2.51,IF(C651="D",1.59,IF(C651="D-",1,""))))))</f>
        <v/>
      </c>
      <c r="K651" s="5" t="str">
        <f>IF(E651="A+",10,IF(E651="A",6.31,IF(E651="B",3.98,IF(E651="C",2.51,IF(E651="D",1.59,IF(E651="D-",1,""))))))</f>
        <v/>
      </c>
      <c r="L651" s="5" t="str">
        <f>IF(G651="A+",10,IF(G651="A",6.31,IF(G651="B",3.98,IF(G651="C",2.51,IF(G651="D",1.59,IF(G651="D-",1,""))))))</f>
        <v/>
      </c>
      <c r="M651" s="6" t="str">
        <f>IF(ISNUMBER(J651),J651/(J651+K651+L651),"")</f>
        <v/>
      </c>
      <c r="N651" s="7" t="str">
        <f>IF(ISNUMBER(M651),I651*(1+(1-M651)*0.475),"")</f>
        <v/>
      </c>
    </row>
    <row r="652" spans="1:14" x14ac:dyDescent="0.25">
      <c r="M652" s="3" t="s">
        <v>17</v>
      </c>
      <c r="N652" s="8" t="str">
        <f>IF(ISNUMBER(M651),AVERAGE(N651:N651),"")</f>
        <v/>
      </c>
    </row>
    <row r="653" spans="1:14" x14ac:dyDescent="0.25">
      <c r="M653" s="3" t="s">
        <v>18</v>
      </c>
      <c r="N653" s="8" t="str">
        <f>IF(ISNUMBER(N652),(N652-69.8)*(113/118),"")</f>
        <v/>
      </c>
    </row>
    <row r="655" spans="1:14" x14ac:dyDescent="0.25">
      <c r="A655" s="11" t="s">
        <v>126</v>
      </c>
      <c r="B655" s="10">
        <v>1508</v>
      </c>
      <c r="C655" s="10" t="s">
        <v>135</v>
      </c>
      <c r="D655" s="11" t="s">
        <v>126</v>
      </c>
      <c r="E655" s="10" t="s">
        <v>135</v>
      </c>
      <c r="F655" s="11" t="s">
        <v>62</v>
      </c>
      <c r="G655" s="10" t="s">
        <v>139</v>
      </c>
      <c r="H655" s="11" t="s">
        <v>125</v>
      </c>
      <c r="I655" s="11">
        <v>75</v>
      </c>
      <c r="J655" s="12">
        <f>IF(C655="A+",10,IF(C655="A",6.31,IF(C655="B",3.98,IF(C655="C",2.51,IF(C655="D",1.59,IF(C655="D-",1,""))))))</f>
        <v>3.98</v>
      </c>
      <c r="K655" s="12">
        <f>IF(E655="A+",10,IF(E655="A",6.31,IF(E655="B",3.98,IF(E655="C",2.51,IF(E655="D",1.59,IF(E655="D-",1,""))))))</f>
        <v>3.98</v>
      </c>
      <c r="L655" s="12">
        <f>IF(G655="A+",10,IF(G655="A",6.31,IF(G655="B",3.98,IF(G655="C",2.51,IF(G655="D",1.59,IF(G655="D-",1,""))))))</f>
        <v>1</v>
      </c>
      <c r="M655" s="13">
        <f>IF(ISNUMBER(J655),J655/(J655+K655+L655),"")</f>
        <v>0.44419642857142855</v>
      </c>
      <c r="N655" s="14">
        <f>IF(ISNUMBER(M655),I655*(1+(1-M655)*0.475),"")</f>
        <v>94.800502232142861</v>
      </c>
    </row>
    <row r="656" spans="1:14" x14ac:dyDescent="0.25">
      <c r="A656" s="11"/>
      <c r="B656" s="10">
        <v>1608</v>
      </c>
      <c r="C656" s="10" t="s">
        <v>135</v>
      </c>
      <c r="D656" s="11" t="s">
        <v>126</v>
      </c>
      <c r="E656" s="10" t="s">
        <v>135</v>
      </c>
      <c r="F656" s="11" t="s">
        <v>124</v>
      </c>
      <c r="G656" s="10" t="s">
        <v>137</v>
      </c>
      <c r="H656" s="11" t="s">
        <v>122</v>
      </c>
      <c r="I656" s="11">
        <v>76</v>
      </c>
      <c r="J656" s="12">
        <f>IF(C656="A+",10,IF(C656="A",6.31,IF(C656="B",3.98,IF(C656="C",2.51,IF(C656="D",1.59,IF(C656="D-",1,""))))))</f>
        <v>3.98</v>
      </c>
      <c r="K656" s="12">
        <f>IF(E656="A+",10,IF(E656="A",6.31,IF(E656="B",3.98,IF(E656="C",2.51,IF(E656="D",1.59,IF(E656="D-",1,""))))))</f>
        <v>3.98</v>
      </c>
      <c r="L656" s="12">
        <f>IF(G656="A+",10,IF(G656="A",6.31,IF(G656="B",3.98,IF(G656="C",2.51,IF(G656="D",1.59,IF(G656="D-",1,""))))))</f>
        <v>2.5099999999999998</v>
      </c>
      <c r="M656" s="13">
        <f>IF(ISNUMBER(J656),J656/(J656+K656+L656),"")</f>
        <v>0.38013371537726842</v>
      </c>
      <c r="N656" s="14">
        <f>IF(ISNUMBER(M656),I656*(1+(1-M656)*0.475),"")</f>
        <v>98.377172874880614</v>
      </c>
    </row>
    <row r="657" spans="1:14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9" t="s">
        <v>17</v>
      </c>
      <c r="N657" s="15">
        <f>IF(ISNUMBER(M656),AVERAGE(N655:N656),"")</f>
        <v>96.588837553511738</v>
      </c>
    </row>
    <row r="658" spans="1:14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9" t="s">
        <v>18</v>
      </c>
      <c r="N658" s="15">
        <f>IF(ISNUMBER(N657),(N657-69.8)*(113/118),"")</f>
        <v>25.653717318193447</v>
      </c>
    </row>
    <row r="660" spans="1:14" x14ac:dyDescent="0.25">
      <c r="A660" s="2" t="s">
        <v>125</v>
      </c>
      <c r="B660" s="4">
        <v>1505</v>
      </c>
      <c r="C660" s="4"/>
      <c r="D660" s="2" t="s">
        <v>125</v>
      </c>
      <c r="E660" s="4"/>
      <c r="F660" s="2" t="s">
        <v>62</v>
      </c>
      <c r="G660" s="4"/>
      <c r="H660" s="2" t="s">
        <v>124</v>
      </c>
      <c r="I660" s="2">
        <v>80</v>
      </c>
      <c r="J660" s="5" t="str">
        <f>IF(C660="A+",10,IF(C660="A",6.31,IF(C660="B",3.98,IF(C660="C",2.51,IF(C660="D",1.59,IF(C660="D-",1,""))))))</f>
        <v/>
      </c>
      <c r="K660" s="5" t="str">
        <f>IF(E660="A+",10,IF(E660="A",6.31,IF(E660="B",3.98,IF(E660="C",2.51,IF(E660="D",1.59,IF(E660="D-",1,""))))))</f>
        <v/>
      </c>
      <c r="L660" s="5" t="str">
        <f>IF(G660="A+",10,IF(G660="A",6.31,IF(G660="B",3.98,IF(G660="C",2.51,IF(G660="D",1.59,IF(G660="D-",1,""))))))</f>
        <v/>
      </c>
      <c r="M660" s="6" t="str">
        <f>IF(ISNUMBER(J660),J660/(J660+K660+L660),"")</f>
        <v/>
      </c>
      <c r="N660" s="7" t="str">
        <f>IF(ISNUMBER(M660),I660*(1+(1-M660)*0.475),"")</f>
        <v/>
      </c>
    </row>
    <row r="661" spans="1:14" x14ac:dyDescent="0.25">
      <c r="B661" s="4">
        <v>1508</v>
      </c>
      <c r="C661" s="4"/>
      <c r="D661" s="2" t="s">
        <v>125</v>
      </c>
      <c r="E661" s="4"/>
      <c r="F661" s="2" t="s">
        <v>62</v>
      </c>
      <c r="G661" s="4"/>
      <c r="H661" s="2" t="s">
        <v>126</v>
      </c>
      <c r="I661" s="2">
        <v>75</v>
      </c>
      <c r="J661" s="5" t="str">
        <f>IF(C661="A+",10,IF(C661="A",6.31,IF(C661="B",3.98,IF(C661="C",2.51,IF(C661="D",1.59,IF(C661="D-",1,""))))))</f>
        <v/>
      </c>
      <c r="K661" s="5" t="str">
        <f>IF(E661="A+",10,IF(E661="A",6.31,IF(E661="B",3.98,IF(E661="C",2.51,IF(E661="D",1.59,IF(E661="D-",1,""))))))</f>
        <v/>
      </c>
      <c r="L661" s="5" t="str">
        <f>IF(G661="A+",10,IF(G661="A",6.31,IF(G661="B",3.98,IF(G661="C",2.51,IF(G661="D",1.59,IF(G661="D-",1,""))))))</f>
        <v/>
      </c>
      <c r="M661" s="6" t="str">
        <f>IF(ISNUMBER(J661),J661/(J661+K661+L661),"")</f>
        <v/>
      </c>
      <c r="N661" s="7" t="str">
        <f>IF(ISNUMBER(M661),I661*(1+(1-M661)*0.475),"")</f>
        <v/>
      </c>
    </row>
    <row r="662" spans="1:14" x14ac:dyDescent="0.25">
      <c r="M662" s="3" t="s">
        <v>17</v>
      </c>
      <c r="N662" s="8" t="str">
        <f>IF(ISNUMBER(M661),AVERAGE(N660:N661),"")</f>
        <v/>
      </c>
    </row>
    <row r="663" spans="1:14" x14ac:dyDescent="0.25">
      <c r="M663" s="3" t="s">
        <v>18</v>
      </c>
      <c r="N663" s="8" t="str">
        <f>IF(ISNUMBER(N662),(N662-69.8)*(113/118),"")</f>
        <v/>
      </c>
    </row>
    <row r="665" spans="1:14" x14ac:dyDescent="0.25">
      <c r="A665" s="2" t="s">
        <v>105</v>
      </c>
      <c r="B665" s="4">
        <v>1508</v>
      </c>
      <c r="C665" s="4"/>
      <c r="D665" s="2" t="s">
        <v>105</v>
      </c>
      <c r="E665" s="4"/>
      <c r="F665" s="2" t="s">
        <v>104</v>
      </c>
      <c r="G665" s="4"/>
      <c r="H665" s="2" t="s">
        <v>19</v>
      </c>
      <c r="I665" s="2">
        <v>82</v>
      </c>
      <c r="J665" s="5" t="str">
        <f>IF(C665="A+",10,IF(C665="A",6.31,IF(C665="B",3.98,IF(C665="C",2.51,IF(C665="D",1.59,IF(C665="D-",1,""))))))</f>
        <v/>
      </c>
      <c r="K665" s="5" t="str">
        <f>IF(E665="A+",10,IF(E665="A",6.31,IF(E665="B",3.98,IF(E665="C",2.51,IF(E665="D",1.59,IF(E665="D-",1,""))))))</f>
        <v/>
      </c>
      <c r="L665" s="5" t="str">
        <f>IF(G665="A+",10,IF(G665="A",6.31,IF(G665="B",3.98,IF(G665="C",2.51,IF(G665="D",1.59,IF(G665="D-",1,""))))))</f>
        <v/>
      </c>
      <c r="M665" s="6" t="str">
        <f>IF(ISNUMBER(J665),J665/(J665+K665+L665),"")</f>
        <v/>
      </c>
      <c r="N665" s="7" t="str">
        <f>IF(ISNUMBER(M665),I665*(1+(1-M665)*0.475),"")</f>
        <v/>
      </c>
    </row>
    <row r="666" spans="1:14" x14ac:dyDescent="0.25">
      <c r="B666" s="4">
        <v>1608</v>
      </c>
      <c r="C666" s="4"/>
      <c r="D666" s="2" t="s">
        <v>105</v>
      </c>
      <c r="E666" s="4"/>
      <c r="F666" s="2" t="s">
        <v>104</v>
      </c>
      <c r="G666" s="4"/>
      <c r="H666" s="2" t="s">
        <v>19</v>
      </c>
      <c r="I666" s="2">
        <v>77</v>
      </c>
      <c r="J666" s="5" t="str">
        <f>IF(C666="A+",10,IF(C666="A",6.31,IF(C666="B",3.98,IF(C666="C",2.51,IF(C666="D",1.59,IF(C666="D-",1,""))))))</f>
        <v/>
      </c>
      <c r="K666" s="5" t="str">
        <f>IF(E666="A+",10,IF(E666="A",6.31,IF(E666="B",3.98,IF(E666="C",2.51,IF(E666="D",1.59,IF(E666="D-",1,""))))))</f>
        <v/>
      </c>
      <c r="L666" s="5" t="str">
        <f>IF(G666="A+",10,IF(G666="A",6.31,IF(G666="B",3.98,IF(G666="C",2.51,IF(G666="D",1.59,IF(G666="D-",1,""))))))</f>
        <v/>
      </c>
      <c r="M666" s="6" t="str">
        <f>IF(ISNUMBER(J666),J666/(J666+K666+L666),"")</f>
        <v/>
      </c>
      <c r="N666" s="7" t="str">
        <f>IF(ISNUMBER(M666),I666*(1+(1-M666)*0.475),"")</f>
        <v/>
      </c>
    </row>
    <row r="667" spans="1:14" x14ac:dyDescent="0.25">
      <c r="B667" s="4">
        <v>1705</v>
      </c>
      <c r="C667" s="4"/>
      <c r="D667" s="2" t="s">
        <v>105</v>
      </c>
      <c r="E667" s="4"/>
      <c r="F667" s="2" t="s">
        <v>19</v>
      </c>
      <c r="G667" s="4"/>
      <c r="H667" s="2" t="s">
        <v>107</v>
      </c>
      <c r="I667" s="2">
        <v>79</v>
      </c>
      <c r="J667" s="5" t="str">
        <f>IF(C667="A+",10,IF(C667="A",6.31,IF(C667="B",3.98,IF(C667="C",2.51,IF(C667="D",1.59,IF(C667="D-",1,""))))))</f>
        <v/>
      </c>
      <c r="K667" s="5" t="str">
        <f>IF(E667="A+",10,IF(E667="A",6.31,IF(E667="B",3.98,IF(E667="C",2.51,IF(E667="D",1.59,IF(E667="D-",1,""))))))</f>
        <v/>
      </c>
      <c r="L667" s="5" t="str">
        <f>IF(G667="A+",10,IF(G667="A",6.31,IF(G667="B",3.98,IF(G667="C",2.51,IF(G667="D",1.59,IF(G667="D-",1,""))))))</f>
        <v/>
      </c>
      <c r="M667" s="6" t="str">
        <f>IF(ISNUMBER(J667),J667/(J667+K667+L667),"")</f>
        <v/>
      </c>
      <c r="N667" s="7" t="str">
        <f>IF(ISNUMBER(M667),I667*(1+(1-M667)*0.475),"")</f>
        <v/>
      </c>
    </row>
    <row r="668" spans="1:14" x14ac:dyDescent="0.25">
      <c r="B668" s="4">
        <v>1805</v>
      </c>
      <c r="C668" s="4"/>
      <c r="D668" s="2" t="s">
        <v>105</v>
      </c>
      <c r="E668" s="4"/>
      <c r="F668" s="2" t="s">
        <v>19</v>
      </c>
      <c r="G668" s="4"/>
      <c r="H668" s="2" t="s">
        <v>106</v>
      </c>
      <c r="I668" s="2">
        <v>72</v>
      </c>
      <c r="J668" s="5" t="str">
        <f>IF(C668="A+",10,IF(C668="A",6.31,IF(C668="B",3.98,IF(C668="C",2.51,IF(C668="D",1.59,IF(C668="D-",1,""))))))</f>
        <v/>
      </c>
      <c r="K668" s="5" t="str">
        <f>IF(E668="A+",10,IF(E668="A",6.31,IF(E668="B",3.98,IF(E668="C",2.51,IF(E668="D",1.59,IF(E668="D-",1,""))))))</f>
        <v/>
      </c>
      <c r="L668" s="5" t="str">
        <f>IF(G668="A+",10,IF(G668="A",6.31,IF(G668="B",3.98,IF(G668="C",2.51,IF(G668="D",1.59,IF(G668="D-",1,""))))))</f>
        <v/>
      </c>
      <c r="M668" s="6" t="str">
        <f>IF(ISNUMBER(J668),J668/(J668+K668+L668),"")</f>
        <v/>
      </c>
      <c r="N668" s="7" t="str">
        <f>IF(ISNUMBER(M668),I668*(1+(1-M668)*0.475),"")</f>
        <v/>
      </c>
    </row>
    <row r="669" spans="1:14" x14ac:dyDescent="0.25">
      <c r="M669" s="3" t="s">
        <v>17</v>
      </c>
      <c r="N669" s="8" t="str">
        <f>IF(ISNUMBER(M668),AVERAGE(N665:N668),"")</f>
        <v/>
      </c>
    </row>
    <row r="670" spans="1:14" x14ac:dyDescent="0.25">
      <c r="M670" s="3" t="s">
        <v>18</v>
      </c>
      <c r="N670" s="8" t="str">
        <f>IF(ISNUMBER(N669),(N669-69.8)*(113/118),"")</f>
        <v/>
      </c>
    </row>
    <row r="672" spans="1:14" x14ac:dyDescent="0.25">
      <c r="A672" s="2" t="s">
        <v>107</v>
      </c>
      <c r="B672" s="4">
        <v>1705</v>
      </c>
      <c r="C672" s="4"/>
      <c r="D672" s="2" t="s">
        <v>107</v>
      </c>
      <c r="E672" s="4"/>
      <c r="F672" s="2" t="s">
        <v>19</v>
      </c>
      <c r="G672" s="4"/>
      <c r="H672" s="2" t="s">
        <v>105</v>
      </c>
      <c r="I672" s="2">
        <v>79</v>
      </c>
      <c r="J672" s="5" t="str">
        <f>IF(C672="A+",10,IF(C672="A",6.31,IF(C672="B",3.98,IF(C672="C",2.51,IF(C672="D",1.59,IF(C672="D-",1,""))))))</f>
        <v/>
      </c>
      <c r="K672" s="5" t="str">
        <f>IF(E672="A+",10,IF(E672="A",6.31,IF(E672="B",3.98,IF(E672="C",2.51,IF(E672="D",1.59,IF(E672="D-",1,""))))))</f>
        <v/>
      </c>
      <c r="L672" s="5" t="str">
        <f>IF(G672="A+",10,IF(G672="A",6.31,IF(G672="B",3.98,IF(G672="C",2.51,IF(G672="D",1.59,IF(G672="D-",1,""))))))</f>
        <v/>
      </c>
      <c r="M672" s="6" t="str">
        <f>IF(ISNUMBER(J672),J672/(J672+K672+L672),"")</f>
        <v/>
      </c>
      <c r="N672" s="7" t="str">
        <f>IF(ISNUMBER(M672),I672*(1+(1-M672)*0.475),"")</f>
        <v/>
      </c>
    </row>
    <row r="673" spans="1:14" x14ac:dyDescent="0.25">
      <c r="M673" s="3" t="s">
        <v>17</v>
      </c>
      <c r="N673" s="8" t="str">
        <f>IF(ISNUMBER(M672),AVERAGE(N672:N672),"")</f>
        <v/>
      </c>
    </row>
    <row r="674" spans="1:14" x14ac:dyDescent="0.25">
      <c r="M674" s="3" t="s">
        <v>18</v>
      </c>
      <c r="N674" s="8" t="str">
        <f>IF(ISNUMBER(N673),(N673-69.8)*(113/118),"")</f>
        <v/>
      </c>
    </row>
    <row r="676" spans="1:14" x14ac:dyDescent="0.25">
      <c r="A676" s="2" t="s">
        <v>48</v>
      </c>
      <c r="B676" s="4">
        <v>1805</v>
      </c>
      <c r="C676" s="4"/>
      <c r="D676" s="2" t="s">
        <v>48</v>
      </c>
      <c r="E676" s="4"/>
      <c r="F676" s="2" t="s">
        <v>42</v>
      </c>
      <c r="G676" s="4"/>
      <c r="H676" s="2" t="s">
        <v>47</v>
      </c>
      <c r="I676" s="2">
        <v>68</v>
      </c>
      <c r="J676" s="5" t="str">
        <f>IF(C676="A+",10,IF(C676="A",6.31,IF(C676="B",3.98,IF(C676="C",2.51,IF(C676="D",1.59,IF(C676="D-",1,""))))))</f>
        <v/>
      </c>
      <c r="K676" s="5" t="str">
        <f>IF(E676="A+",10,IF(E676="A",6.31,IF(E676="B",3.98,IF(E676="C",2.51,IF(E676="D",1.59,IF(E676="D-",1,""))))))</f>
        <v/>
      </c>
      <c r="L676" s="5" t="str">
        <f>IF(G676="A+",10,IF(G676="A",6.31,IF(G676="B",3.98,IF(G676="C",2.51,IF(G676="D",1.59,IF(G676="D-",1,""))))))</f>
        <v/>
      </c>
      <c r="M676" s="6" t="str">
        <f>IF(ISNUMBER(J676),J676/(J676+K676+L676),"")</f>
        <v/>
      </c>
      <c r="N676" s="7" t="str">
        <f>IF(ISNUMBER(M676),I676*(1+(1-M676)*0.475),"")</f>
        <v/>
      </c>
    </row>
    <row r="677" spans="1:14" x14ac:dyDescent="0.25">
      <c r="M677" s="3" t="s">
        <v>17</v>
      </c>
      <c r="N677" s="8" t="str">
        <f>IF(ISNUMBER(M676),AVERAGE(N676:N676),"")</f>
        <v/>
      </c>
    </row>
    <row r="678" spans="1:14" x14ac:dyDescent="0.25">
      <c r="M678" s="3" t="s">
        <v>18</v>
      </c>
      <c r="N678" s="8" t="str">
        <f>IF(ISNUMBER(N677),(N677-69.8)*(113/118),"")</f>
        <v/>
      </c>
    </row>
    <row r="680" spans="1:14" x14ac:dyDescent="0.25">
      <c r="A680" s="11" t="s">
        <v>81</v>
      </c>
      <c r="B680" s="10">
        <v>1505</v>
      </c>
      <c r="C680" s="10" t="s">
        <v>137</v>
      </c>
      <c r="D680" s="11" t="s">
        <v>81</v>
      </c>
      <c r="E680" s="10" t="s">
        <v>137</v>
      </c>
      <c r="F680" s="11" t="s">
        <v>79</v>
      </c>
      <c r="G680" s="10" t="s">
        <v>137</v>
      </c>
      <c r="H680" s="11" t="s">
        <v>80</v>
      </c>
      <c r="I680" s="11">
        <v>81</v>
      </c>
      <c r="J680" s="12">
        <f t="shared" ref="J680:J685" si="64">IF(C680="A+",10,IF(C680="A",6.31,IF(C680="B",3.98,IF(C680="C",2.51,IF(C680="D",1.59,IF(C680="D-",1,""))))))</f>
        <v>2.5099999999999998</v>
      </c>
      <c r="K680" s="12">
        <f t="shared" ref="K680:K685" si="65">IF(E680="A+",10,IF(E680="A",6.31,IF(E680="B",3.98,IF(E680="C",2.51,IF(E680="D",1.59,IF(E680="D-",1,""))))))</f>
        <v>2.5099999999999998</v>
      </c>
      <c r="L680" s="12">
        <f t="shared" ref="L680:L685" si="66">IF(G680="A+",10,IF(G680="A",6.31,IF(G680="B",3.98,IF(G680="C",2.51,IF(G680="D",1.59,IF(G680="D-",1,""))))))</f>
        <v>2.5099999999999998</v>
      </c>
      <c r="M680" s="13">
        <f t="shared" ref="M680:M685" si="67">IF(ISNUMBER(J680),J680/(J680+K680+L680),"")</f>
        <v>0.33333333333333331</v>
      </c>
      <c r="N680" s="14">
        <f t="shared" ref="N680:N685" si="68">IF(ISNUMBER(M680),I680*(1+(1-M680)*0.475),"")</f>
        <v>106.65</v>
      </c>
    </row>
    <row r="681" spans="1:14" x14ac:dyDescent="0.25">
      <c r="A681" s="11"/>
      <c r="B681" s="10">
        <v>1508</v>
      </c>
      <c r="C681" s="10" t="s">
        <v>137</v>
      </c>
      <c r="D681" s="11" t="s">
        <v>81</v>
      </c>
      <c r="E681" s="10" t="s">
        <v>139</v>
      </c>
      <c r="F681" s="11" t="s">
        <v>115</v>
      </c>
      <c r="G681" s="10" t="s">
        <v>137</v>
      </c>
      <c r="H681" s="11" t="s">
        <v>80</v>
      </c>
      <c r="I681" s="11">
        <v>80</v>
      </c>
      <c r="J681" s="12">
        <f t="shared" si="64"/>
        <v>2.5099999999999998</v>
      </c>
      <c r="K681" s="12">
        <f t="shared" si="65"/>
        <v>1</v>
      </c>
      <c r="L681" s="12">
        <f t="shared" si="66"/>
        <v>2.5099999999999998</v>
      </c>
      <c r="M681" s="13">
        <f t="shared" si="67"/>
        <v>0.4169435215946844</v>
      </c>
      <c r="N681" s="14">
        <f t="shared" si="68"/>
        <v>102.15614617940199</v>
      </c>
    </row>
    <row r="682" spans="1:14" x14ac:dyDescent="0.25">
      <c r="A682" s="11"/>
      <c r="B682" s="10">
        <v>1608</v>
      </c>
      <c r="C682" s="10" t="s">
        <v>137</v>
      </c>
      <c r="D682" s="11" t="s">
        <v>81</v>
      </c>
      <c r="E682" s="10" t="s">
        <v>137</v>
      </c>
      <c r="F682" s="11" t="s">
        <v>79</v>
      </c>
      <c r="G682" s="10" t="s">
        <v>137</v>
      </c>
      <c r="H682" s="11" t="s">
        <v>80</v>
      </c>
      <c r="I682" s="11">
        <v>84</v>
      </c>
      <c r="J682" s="12">
        <f t="shared" si="64"/>
        <v>2.5099999999999998</v>
      </c>
      <c r="K682" s="12">
        <f t="shared" si="65"/>
        <v>2.5099999999999998</v>
      </c>
      <c r="L682" s="12">
        <f t="shared" si="66"/>
        <v>2.5099999999999998</v>
      </c>
      <c r="M682" s="13">
        <f t="shared" si="67"/>
        <v>0.33333333333333331</v>
      </c>
      <c r="N682" s="14">
        <f t="shared" si="68"/>
        <v>110.6</v>
      </c>
    </row>
    <row r="683" spans="1:14" x14ac:dyDescent="0.25">
      <c r="A683" s="11"/>
      <c r="B683" s="10">
        <v>1705</v>
      </c>
      <c r="C683" s="10" t="s">
        <v>137</v>
      </c>
      <c r="D683" s="11" t="s">
        <v>81</v>
      </c>
      <c r="E683" s="10" t="s">
        <v>137</v>
      </c>
      <c r="F683" s="11" t="s">
        <v>80</v>
      </c>
      <c r="G683" s="10" t="s">
        <v>137</v>
      </c>
      <c r="H683" s="11" t="s">
        <v>116</v>
      </c>
      <c r="I683" s="11">
        <v>80</v>
      </c>
      <c r="J683" s="12">
        <f t="shared" si="64"/>
        <v>2.5099999999999998</v>
      </c>
      <c r="K683" s="12">
        <f t="shared" si="65"/>
        <v>2.5099999999999998</v>
      </c>
      <c r="L683" s="12">
        <f t="shared" si="66"/>
        <v>2.5099999999999998</v>
      </c>
      <c r="M683" s="13">
        <f t="shared" si="67"/>
        <v>0.33333333333333331</v>
      </c>
      <c r="N683" s="14">
        <f t="shared" si="68"/>
        <v>105.33333333333333</v>
      </c>
    </row>
    <row r="684" spans="1:14" x14ac:dyDescent="0.25">
      <c r="A684" s="11"/>
      <c r="B684" s="10">
        <v>1805</v>
      </c>
      <c r="C684" s="10" t="s">
        <v>137</v>
      </c>
      <c r="D684" s="11" t="s">
        <v>81</v>
      </c>
      <c r="E684" s="10" t="s">
        <v>137</v>
      </c>
      <c r="F684" s="11" t="s">
        <v>79</v>
      </c>
      <c r="G684" s="10" t="s">
        <v>137</v>
      </c>
      <c r="H684" s="11" t="s">
        <v>80</v>
      </c>
      <c r="I684" s="11">
        <v>78</v>
      </c>
      <c r="J684" s="12">
        <f t="shared" si="64"/>
        <v>2.5099999999999998</v>
      </c>
      <c r="K684" s="12">
        <f t="shared" si="65"/>
        <v>2.5099999999999998</v>
      </c>
      <c r="L684" s="12">
        <f t="shared" si="66"/>
        <v>2.5099999999999998</v>
      </c>
      <c r="M684" s="13">
        <f t="shared" si="67"/>
        <v>0.33333333333333331</v>
      </c>
      <c r="N684" s="14">
        <f t="shared" si="68"/>
        <v>102.7</v>
      </c>
    </row>
    <row r="685" spans="1:14" x14ac:dyDescent="0.25">
      <c r="A685" s="11"/>
      <c r="B685" s="10">
        <v>1906</v>
      </c>
      <c r="C685" s="10" t="s">
        <v>137</v>
      </c>
      <c r="D685" s="11" t="s">
        <v>81</v>
      </c>
      <c r="E685" s="10" t="s">
        <v>137</v>
      </c>
      <c r="F685" s="11" t="s">
        <v>80</v>
      </c>
      <c r="G685" s="10" t="s">
        <v>136</v>
      </c>
      <c r="H685" s="11" t="s">
        <v>117</v>
      </c>
      <c r="I685" s="11">
        <v>72</v>
      </c>
      <c r="J685" s="12">
        <f t="shared" si="64"/>
        <v>2.5099999999999998</v>
      </c>
      <c r="K685" s="12">
        <f t="shared" si="65"/>
        <v>2.5099999999999998</v>
      </c>
      <c r="L685" s="12">
        <f t="shared" si="66"/>
        <v>6.31</v>
      </c>
      <c r="M685" s="13">
        <f t="shared" si="67"/>
        <v>0.22153574580759047</v>
      </c>
      <c r="N685" s="14">
        <f t="shared" si="68"/>
        <v>98.623477493380392</v>
      </c>
    </row>
    <row r="686" spans="1:14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9" t="s">
        <v>17</v>
      </c>
      <c r="N686" s="15">
        <f>IF(ISNUMBER(M685),AVERAGE(N680:N685),"")</f>
        <v>104.34382616768595</v>
      </c>
    </row>
    <row r="687" spans="1:14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9" t="s">
        <v>18</v>
      </c>
      <c r="N687" s="15">
        <f>IF(ISNUMBER(N686),(N686-69.8)*(113/118),"")</f>
        <v>33.08010471990265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75D26-A433-49F2-AA60-2A0F1A5126D8}">
  <sheetPr codeName="Sheet4"/>
  <dimension ref="B2:N14"/>
  <sheetViews>
    <sheetView showGridLines="0" workbookViewId="0">
      <selection activeCell="S10" sqref="S10"/>
    </sheetView>
  </sheetViews>
  <sheetFormatPr defaultRowHeight="15" x14ac:dyDescent="0.25"/>
  <cols>
    <col min="1" max="1" width="2.5703125" style="16" customWidth="1"/>
    <col min="2" max="2" width="11" style="16" customWidth="1"/>
    <col min="3" max="3" width="11.140625" style="23" customWidth="1"/>
    <col min="4" max="4" width="10.42578125" style="23" customWidth="1"/>
    <col min="5" max="5" width="10.140625" style="23" customWidth="1"/>
    <col min="6" max="6" width="11.7109375" style="16" customWidth="1"/>
    <col min="7" max="16384" width="9.140625" style="16"/>
  </cols>
  <sheetData>
    <row r="2" spans="2:14" ht="30" x14ac:dyDescent="0.25">
      <c r="B2" s="45" t="s">
        <v>140</v>
      </c>
      <c r="C2" s="45" t="s">
        <v>141</v>
      </c>
      <c r="D2" s="45" t="s">
        <v>142</v>
      </c>
      <c r="E2" s="46" t="s">
        <v>143</v>
      </c>
      <c r="F2" s="45" t="s">
        <v>144</v>
      </c>
      <c r="M2" s="17"/>
      <c r="N2" s="18"/>
    </row>
    <row r="3" spans="2:14" x14ac:dyDescent="0.25">
      <c r="B3" s="19" t="s">
        <v>145</v>
      </c>
      <c r="C3" s="20" t="s">
        <v>146</v>
      </c>
      <c r="D3" s="20">
        <v>75</v>
      </c>
      <c r="E3" s="21">
        <v>10</v>
      </c>
      <c r="F3" s="19">
        <v>5</v>
      </c>
      <c r="N3" s="22"/>
    </row>
    <row r="4" spans="2:14" x14ac:dyDescent="0.25">
      <c r="B4" s="19" t="s">
        <v>136</v>
      </c>
      <c r="C4" s="20" t="s">
        <v>147</v>
      </c>
      <c r="D4" s="20">
        <v>85</v>
      </c>
      <c r="E4" s="21">
        <v>6.31</v>
      </c>
      <c r="F4" s="19">
        <v>14.6</v>
      </c>
      <c r="N4" s="22"/>
    </row>
    <row r="5" spans="2:14" x14ac:dyDescent="0.25">
      <c r="B5" s="19" t="s">
        <v>135</v>
      </c>
      <c r="C5" s="20" t="s">
        <v>148</v>
      </c>
      <c r="D5" s="20">
        <v>95</v>
      </c>
      <c r="E5" s="21">
        <v>3.98</v>
      </c>
      <c r="F5" s="19">
        <v>24.1</v>
      </c>
      <c r="N5" s="22"/>
    </row>
    <row r="6" spans="2:14" x14ac:dyDescent="0.25">
      <c r="B6" s="19" t="s">
        <v>137</v>
      </c>
      <c r="C6" s="20" t="s">
        <v>149</v>
      </c>
      <c r="D6" s="20">
        <v>105</v>
      </c>
      <c r="E6" s="21">
        <v>2.5099999999999998</v>
      </c>
      <c r="F6" s="19">
        <v>33.700000000000003</v>
      </c>
      <c r="N6" s="22"/>
    </row>
    <row r="7" spans="2:14" x14ac:dyDescent="0.25">
      <c r="B7" s="19" t="s">
        <v>138</v>
      </c>
      <c r="C7" s="20" t="s">
        <v>150</v>
      </c>
      <c r="D7" s="20">
        <v>115</v>
      </c>
      <c r="E7" s="21">
        <v>1.59</v>
      </c>
      <c r="F7" s="19">
        <v>43.3</v>
      </c>
      <c r="N7" s="22"/>
    </row>
    <row r="8" spans="2:14" x14ac:dyDescent="0.25">
      <c r="B8" s="19" t="s">
        <v>139</v>
      </c>
      <c r="C8" s="20" t="s">
        <v>151</v>
      </c>
      <c r="D8" s="20">
        <v>125</v>
      </c>
      <c r="E8" s="20">
        <v>1</v>
      </c>
      <c r="F8" s="19">
        <v>52.9</v>
      </c>
      <c r="N8" s="23"/>
    </row>
    <row r="9" spans="2:14" x14ac:dyDescent="0.25">
      <c r="I9" s="24"/>
    </row>
    <row r="10" spans="2:14" x14ac:dyDescent="0.25">
      <c r="I10" s="24"/>
    </row>
    <row r="11" spans="2:14" x14ac:dyDescent="0.25">
      <c r="I11" s="24"/>
    </row>
    <row r="12" spans="2:14" x14ac:dyDescent="0.25">
      <c r="I12" s="24"/>
    </row>
    <row r="13" spans="2:14" x14ac:dyDescent="0.25">
      <c r="I13" s="24"/>
    </row>
    <row r="14" spans="2:14" x14ac:dyDescent="0.25">
      <c r="I14" s="2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B4459-04D7-44FB-8835-727E911200B1}">
  <sheetPr codeName="Sheet5"/>
  <dimension ref="B2:R30"/>
  <sheetViews>
    <sheetView showGridLines="0" workbookViewId="0">
      <selection activeCell="I16" sqref="I16"/>
    </sheetView>
  </sheetViews>
  <sheetFormatPr defaultRowHeight="15" x14ac:dyDescent="0.25"/>
  <cols>
    <col min="1" max="1" width="9.140625" style="25"/>
    <col min="2" max="2" width="9.85546875" style="25" bestFit="1" customWidth="1"/>
    <col min="3" max="6" width="9.140625" style="26"/>
    <col min="7" max="7" width="9.140625" style="25"/>
    <col min="8" max="8" width="9.85546875" style="25" bestFit="1" customWidth="1"/>
    <col min="9" max="12" width="9.140625" style="26"/>
    <col min="13" max="13" width="9.140625" style="25"/>
    <col min="14" max="14" width="9.85546875" style="25" bestFit="1" customWidth="1"/>
    <col min="15" max="18" width="9.140625" style="26"/>
    <col min="19" max="16384" width="9.140625" style="25"/>
  </cols>
  <sheetData>
    <row r="2" spans="2:18" ht="30" x14ac:dyDescent="0.25">
      <c r="B2" s="33" t="s">
        <v>158</v>
      </c>
      <c r="C2" s="32" t="s">
        <v>157</v>
      </c>
      <c r="D2" s="32" t="s">
        <v>156</v>
      </c>
      <c r="E2" s="32" t="s">
        <v>155</v>
      </c>
      <c r="F2" s="32" t="s">
        <v>154</v>
      </c>
      <c r="H2" s="33" t="s">
        <v>158</v>
      </c>
      <c r="I2" s="32" t="s">
        <v>157</v>
      </c>
      <c r="J2" s="32" t="s">
        <v>167</v>
      </c>
      <c r="K2" s="32" t="s">
        <v>155</v>
      </c>
      <c r="L2" s="32" t="s">
        <v>154</v>
      </c>
      <c r="N2" s="33" t="s">
        <v>158</v>
      </c>
      <c r="O2" s="32" t="s">
        <v>157</v>
      </c>
      <c r="P2" s="32" t="s">
        <v>166</v>
      </c>
      <c r="Q2" s="32" t="s">
        <v>155</v>
      </c>
      <c r="R2" s="32" t="s">
        <v>154</v>
      </c>
    </row>
    <row r="3" spans="2:18" x14ac:dyDescent="0.25">
      <c r="B3" s="31" t="s">
        <v>162</v>
      </c>
      <c r="C3" s="29">
        <v>23.27</v>
      </c>
      <c r="D3" s="29">
        <f>55-C3</f>
        <v>31.73</v>
      </c>
      <c r="E3" s="30">
        <f>D3/(D3+D4+D5)</f>
        <v>0.43825966850828724</v>
      </c>
      <c r="F3" s="29">
        <f>(C3*E3)*0.5</f>
        <v>5.0991512430939219</v>
      </c>
      <c r="H3" s="31" t="s">
        <v>162</v>
      </c>
      <c r="I3" s="29">
        <v>23.27</v>
      </c>
      <c r="J3" s="29">
        <f>60-I3</f>
        <v>36.730000000000004</v>
      </c>
      <c r="K3" s="30">
        <f>J3/(J3+J4+J5)</f>
        <v>0.42025171624713958</v>
      </c>
      <c r="L3" s="29">
        <f>(I3*K3)*0.5</f>
        <v>4.8896287185354685</v>
      </c>
      <c r="N3" s="31" t="s">
        <v>162</v>
      </c>
      <c r="O3" s="29">
        <v>23.27</v>
      </c>
      <c r="P3" s="29">
        <f>65-O3</f>
        <v>41.730000000000004</v>
      </c>
      <c r="Q3" s="30">
        <f>P3/(P3+P4+P5)</f>
        <v>0.40751953125000001</v>
      </c>
      <c r="R3" s="29">
        <f>(O3*Q3)*0.5</f>
        <v>4.74148974609375</v>
      </c>
    </row>
    <row r="4" spans="2:18" x14ac:dyDescent="0.25">
      <c r="B4" s="31" t="s">
        <v>161</v>
      </c>
      <c r="C4" s="29">
        <v>30.83</v>
      </c>
      <c r="D4" s="29">
        <f>55-C4</f>
        <v>24.17</v>
      </c>
      <c r="E4" s="30">
        <f>D4/(D3+D4+D5)</f>
        <v>0.33383977900552486</v>
      </c>
      <c r="F4" s="29">
        <f>(C4*E4)*0.5</f>
        <v>5.1461401933701652</v>
      </c>
      <c r="H4" s="31" t="s">
        <v>161</v>
      </c>
      <c r="I4" s="29">
        <v>30.83</v>
      </c>
      <c r="J4" s="29">
        <f t="shared" ref="J4:J5" si="0">60-I4</f>
        <v>29.17</v>
      </c>
      <c r="K4" s="30">
        <f>J4/(J3+J4+J5)</f>
        <v>0.33375286041189933</v>
      </c>
      <c r="L4" s="29">
        <f>(I4*K4)*0.5</f>
        <v>5.144800343249428</v>
      </c>
      <c r="N4" s="31" t="s">
        <v>161</v>
      </c>
      <c r="O4" s="29">
        <v>30.83</v>
      </c>
      <c r="P4" s="29">
        <f t="shared" ref="P4:P5" si="1">65-O4</f>
        <v>34.17</v>
      </c>
      <c r="Q4" s="30">
        <f>P4/(P3+P4+P5)</f>
        <v>0.33369140624999999</v>
      </c>
      <c r="R4" s="29">
        <f>(O4*Q4)*0.5</f>
        <v>5.1438530273437495</v>
      </c>
    </row>
    <row r="5" spans="2:18" x14ac:dyDescent="0.25">
      <c r="B5" s="31" t="s">
        <v>160</v>
      </c>
      <c r="C5" s="29">
        <v>38.5</v>
      </c>
      <c r="D5" s="29">
        <f>55-C5</f>
        <v>16.5</v>
      </c>
      <c r="E5" s="30">
        <f>D5/(D3+D4+D5)</f>
        <v>0.22790055248618782</v>
      </c>
      <c r="F5" s="29">
        <f>(C5*E5)*0.5</f>
        <v>4.3870856353591154</v>
      </c>
      <c r="H5" s="31" t="s">
        <v>160</v>
      </c>
      <c r="I5" s="29">
        <v>38.5</v>
      </c>
      <c r="J5" s="29">
        <f t="shared" si="0"/>
        <v>21.5</v>
      </c>
      <c r="K5" s="30">
        <f>J5/(J3+J4+J5)</f>
        <v>0.24599542334096108</v>
      </c>
      <c r="L5" s="29">
        <f>(I5*K5)*0.5</f>
        <v>4.735411899313501</v>
      </c>
      <c r="N5" s="31" t="s">
        <v>160</v>
      </c>
      <c r="O5" s="29">
        <v>38.5</v>
      </c>
      <c r="P5" s="29">
        <f t="shared" si="1"/>
        <v>26.5</v>
      </c>
      <c r="Q5" s="30">
        <f>P5/(P3+P4+P5)</f>
        <v>0.2587890625</v>
      </c>
      <c r="R5" s="29">
        <f>(O5*Q5)*0.5</f>
        <v>4.981689453125</v>
      </c>
    </row>
    <row r="6" spans="2:18" ht="30" x14ac:dyDescent="0.25">
      <c r="E6" s="28" t="s">
        <v>152</v>
      </c>
      <c r="F6" s="27">
        <f>F3+F4+F5</f>
        <v>14.632377071823202</v>
      </c>
      <c r="K6" s="28" t="s">
        <v>152</v>
      </c>
      <c r="L6" s="27">
        <f>L3+L4+L5</f>
        <v>14.769840961098398</v>
      </c>
      <c r="Q6" s="28" t="s">
        <v>152</v>
      </c>
      <c r="R6" s="27">
        <f>R3+R4+R5</f>
        <v>14.8670322265625</v>
      </c>
    </row>
    <row r="8" spans="2:18" ht="30" x14ac:dyDescent="0.25">
      <c r="B8" s="33" t="s">
        <v>158</v>
      </c>
      <c r="C8" s="32" t="s">
        <v>157</v>
      </c>
      <c r="D8" s="32" t="s">
        <v>156</v>
      </c>
      <c r="E8" s="32" t="s">
        <v>155</v>
      </c>
      <c r="F8" s="32" t="s">
        <v>154</v>
      </c>
      <c r="H8" s="33" t="s">
        <v>158</v>
      </c>
      <c r="I8" s="32" t="s">
        <v>157</v>
      </c>
      <c r="J8" s="32" t="s">
        <v>167</v>
      </c>
      <c r="K8" s="32" t="s">
        <v>155</v>
      </c>
      <c r="L8" s="32" t="s">
        <v>154</v>
      </c>
      <c r="N8" s="33" t="s">
        <v>158</v>
      </c>
      <c r="O8" s="32" t="s">
        <v>157</v>
      </c>
      <c r="P8" s="32" t="s">
        <v>166</v>
      </c>
      <c r="Q8" s="32" t="s">
        <v>155</v>
      </c>
      <c r="R8" s="32" t="s">
        <v>154</v>
      </c>
    </row>
    <row r="9" spans="2:18" x14ac:dyDescent="0.25">
      <c r="B9" s="31" t="s">
        <v>165</v>
      </c>
      <c r="C9" s="29">
        <v>20.65</v>
      </c>
      <c r="D9" s="29">
        <f>55-C9</f>
        <v>34.35</v>
      </c>
      <c r="E9" s="30">
        <f>D9/(D9+D10+D11)</f>
        <v>0.34696969696969693</v>
      </c>
      <c r="F9" s="29">
        <f>(C9*E9)*0.5</f>
        <v>3.5824621212121204</v>
      </c>
      <c r="H9" s="31" t="s">
        <v>165</v>
      </c>
      <c r="I9" s="29">
        <v>20.65</v>
      </c>
      <c r="J9" s="29">
        <f>60-I9</f>
        <v>39.35</v>
      </c>
      <c r="K9" s="30">
        <f>J9/(J9+J10+J11)</f>
        <v>0.34517543859649119</v>
      </c>
      <c r="L9" s="29">
        <f>(I9*K9)*0.5</f>
        <v>3.5639364035087713</v>
      </c>
      <c r="N9" s="31" t="s">
        <v>165</v>
      </c>
      <c r="O9" s="29">
        <v>20.65</v>
      </c>
      <c r="P9" s="29">
        <f>65-O9</f>
        <v>44.35</v>
      </c>
      <c r="Q9" s="30">
        <f>P9/(P9+P10+P11)</f>
        <v>0.34379844961240313</v>
      </c>
      <c r="R9" s="29">
        <f>(O9*Q9)*0.5</f>
        <v>3.5497189922480623</v>
      </c>
    </row>
    <row r="10" spans="2:18" x14ac:dyDescent="0.25">
      <c r="B10" s="31" t="s">
        <v>164</v>
      </c>
      <c r="C10" s="29">
        <v>21.05</v>
      </c>
      <c r="D10" s="29">
        <f>55-C10</f>
        <v>33.950000000000003</v>
      </c>
      <c r="E10" s="30">
        <f>D10/(D9+D10+D11)</f>
        <v>0.34292929292929292</v>
      </c>
      <c r="F10" s="29">
        <f>(C10*E10)*0.5</f>
        <v>3.609330808080808</v>
      </c>
      <c r="H10" s="31" t="s">
        <v>164</v>
      </c>
      <c r="I10" s="29">
        <v>21.05</v>
      </c>
      <c r="J10" s="29">
        <f t="shared" ref="J10:J11" si="2">60-I10</f>
        <v>38.950000000000003</v>
      </c>
      <c r="K10" s="30">
        <f>J10/(J9+J10+J11)</f>
        <v>0.34166666666666667</v>
      </c>
      <c r="L10" s="29">
        <f>(I10*K10)*0.5</f>
        <v>3.5960416666666668</v>
      </c>
      <c r="N10" s="31" t="s">
        <v>164</v>
      </c>
      <c r="O10" s="29">
        <v>21.05</v>
      </c>
      <c r="P10" s="29">
        <f t="shared" ref="P10:P11" si="3">65-O10</f>
        <v>43.95</v>
      </c>
      <c r="Q10" s="30">
        <f>P10/(P9+P10+P11)</f>
        <v>0.34069767441860466</v>
      </c>
      <c r="R10" s="29">
        <f>(O10*Q10)*0.5</f>
        <v>3.5858430232558143</v>
      </c>
    </row>
    <row r="11" spans="2:18" x14ac:dyDescent="0.25">
      <c r="B11" s="31" t="s">
        <v>163</v>
      </c>
      <c r="C11" s="29">
        <v>24.3</v>
      </c>
      <c r="D11" s="29">
        <f>55-C11</f>
        <v>30.7</v>
      </c>
      <c r="E11" s="30">
        <f>D11/(D9+D10+D11)</f>
        <v>0.31010101010101004</v>
      </c>
      <c r="F11" s="29">
        <f>(C11*E11)*0.5</f>
        <v>3.7677272727272721</v>
      </c>
      <c r="H11" s="31" t="s">
        <v>163</v>
      </c>
      <c r="I11" s="29">
        <v>24.3</v>
      </c>
      <c r="J11" s="29">
        <f t="shared" si="2"/>
        <v>35.700000000000003</v>
      </c>
      <c r="K11" s="30">
        <f>J11/(J9+J10+J11)</f>
        <v>0.31315789473684208</v>
      </c>
      <c r="L11" s="29">
        <f>(I11*K11)*0.5</f>
        <v>3.8048684210526313</v>
      </c>
      <c r="N11" s="31" t="s">
        <v>163</v>
      </c>
      <c r="O11" s="29">
        <v>24.3</v>
      </c>
      <c r="P11" s="29">
        <f t="shared" si="3"/>
        <v>40.700000000000003</v>
      </c>
      <c r="Q11" s="30">
        <f>P11/(P9+P10+P11)</f>
        <v>0.31550387596899226</v>
      </c>
      <c r="R11" s="29">
        <f>(O11*Q11)*0.5</f>
        <v>3.833372093023256</v>
      </c>
    </row>
    <row r="12" spans="2:18" ht="30" x14ac:dyDescent="0.25">
      <c r="E12" s="28" t="s">
        <v>152</v>
      </c>
      <c r="F12" s="27">
        <f>F9+F10+F11</f>
        <v>10.959520202020201</v>
      </c>
      <c r="K12" s="28" t="s">
        <v>152</v>
      </c>
      <c r="L12" s="27">
        <f>L9+L10+L11</f>
        <v>10.964846491228069</v>
      </c>
      <c r="Q12" s="28" t="s">
        <v>152</v>
      </c>
      <c r="R12" s="27">
        <f>R9+R10+R11</f>
        <v>10.968934108527133</v>
      </c>
    </row>
    <row r="14" spans="2:18" ht="30" x14ac:dyDescent="0.25">
      <c r="B14" s="33" t="s">
        <v>158</v>
      </c>
      <c r="C14" s="32" t="s">
        <v>157</v>
      </c>
      <c r="D14" s="32" t="s">
        <v>156</v>
      </c>
      <c r="E14" s="32" t="s">
        <v>155</v>
      </c>
      <c r="F14" s="32" t="s">
        <v>154</v>
      </c>
      <c r="H14" s="33" t="s">
        <v>158</v>
      </c>
      <c r="I14" s="32" t="s">
        <v>157</v>
      </c>
      <c r="J14" s="32" t="s">
        <v>167</v>
      </c>
      <c r="K14" s="32" t="s">
        <v>155</v>
      </c>
      <c r="L14" s="32" t="s">
        <v>154</v>
      </c>
      <c r="N14" s="33" t="s">
        <v>158</v>
      </c>
      <c r="O14" s="32" t="s">
        <v>157</v>
      </c>
      <c r="P14" s="32" t="s">
        <v>166</v>
      </c>
      <c r="Q14" s="32" t="s">
        <v>155</v>
      </c>
      <c r="R14" s="32" t="s">
        <v>154</v>
      </c>
    </row>
    <row r="15" spans="2:18" x14ac:dyDescent="0.25">
      <c r="B15" s="31" t="s">
        <v>153</v>
      </c>
      <c r="C15" s="29">
        <v>5</v>
      </c>
      <c r="D15" s="29">
        <f>55-C15</f>
        <v>50</v>
      </c>
      <c r="E15" s="30">
        <f>D15/(D15+D16+D17)</f>
        <v>0.92250922509225086</v>
      </c>
      <c r="F15" s="29">
        <f>(C15*E15)*0.5</f>
        <v>2.3062730627306269</v>
      </c>
      <c r="H15" s="31" t="s">
        <v>153</v>
      </c>
      <c r="I15" s="29">
        <v>5</v>
      </c>
      <c r="J15" s="29">
        <f>60-I15</f>
        <v>55</v>
      </c>
      <c r="K15" s="30">
        <f>J15/(J15+J16+J17)</f>
        <v>0.7947976878612717</v>
      </c>
      <c r="L15" s="29">
        <f>(I15*K15)*0.5</f>
        <v>1.9869942196531793</v>
      </c>
      <c r="N15" s="31" t="s">
        <v>153</v>
      </c>
      <c r="O15" s="29">
        <v>5</v>
      </c>
      <c r="P15" s="29">
        <f>65-O15</f>
        <v>60</v>
      </c>
      <c r="Q15" s="30">
        <f>P15/(P15+P16+P17)</f>
        <v>0.71258907363420432</v>
      </c>
      <c r="R15" s="29">
        <f>(O15*Q15)*0.5</f>
        <v>1.7814726840855108</v>
      </c>
    </row>
    <row r="16" spans="2:18" x14ac:dyDescent="0.25">
      <c r="B16" s="31" t="s">
        <v>159</v>
      </c>
      <c r="C16" s="29">
        <v>52.9</v>
      </c>
      <c r="D16" s="29">
        <f>55-C16</f>
        <v>2.1000000000000014</v>
      </c>
      <c r="E16" s="30">
        <f>D16/(D15+D16+D17)</f>
        <v>3.8745387453874562E-2</v>
      </c>
      <c r="F16" s="29">
        <f>(C16*E16)*0.5</f>
        <v>1.0248154981549822</v>
      </c>
      <c r="H16" s="31" t="s">
        <v>159</v>
      </c>
      <c r="I16" s="29">
        <v>52.9</v>
      </c>
      <c r="J16" s="29">
        <f t="shared" ref="J16:J17" si="4">60-I16</f>
        <v>7.1000000000000014</v>
      </c>
      <c r="K16" s="30">
        <f>J16/(J15+J16+J17)</f>
        <v>0.10260115606936418</v>
      </c>
      <c r="L16" s="29">
        <f>(I16*K16)*0.5</f>
        <v>2.7138005780346823</v>
      </c>
      <c r="N16" s="31" t="s">
        <v>159</v>
      </c>
      <c r="O16" s="29">
        <v>52.9</v>
      </c>
      <c r="P16" s="29">
        <f t="shared" ref="P16:P17" si="5">65-O16</f>
        <v>12.100000000000001</v>
      </c>
      <c r="Q16" s="30">
        <f>P16/(P15+P16+P17)</f>
        <v>0.1437054631828979</v>
      </c>
      <c r="R16" s="29">
        <f>(O16*Q16)*0.5</f>
        <v>3.8010095011876492</v>
      </c>
    </row>
    <row r="17" spans="2:18" x14ac:dyDescent="0.25">
      <c r="B17" s="31" t="s">
        <v>159</v>
      </c>
      <c r="C17" s="29">
        <v>52.9</v>
      </c>
      <c r="D17" s="29">
        <f>55-C17</f>
        <v>2.1000000000000014</v>
      </c>
      <c r="E17" s="30">
        <f>D17/(D15+D16+D17)</f>
        <v>3.8745387453874562E-2</v>
      </c>
      <c r="F17" s="29">
        <f>(C17*E17)*0.5</f>
        <v>1.0248154981549822</v>
      </c>
      <c r="H17" s="31" t="s">
        <v>159</v>
      </c>
      <c r="I17" s="29">
        <v>52.9</v>
      </c>
      <c r="J17" s="29">
        <f t="shared" si="4"/>
        <v>7.1000000000000014</v>
      </c>
      <c r="K17" s="30">
        <f>J17/(J15+J16+J17)</f>
        <v>0.10260115606936418</v>
      </c>
      <c r="L17" s="29">
        <f>(I17*K17)*0.5</f>
        <v>2.7138005780346823</v>
      </c>
      <c r="N17" s="31" t="s">
        <v>159</v>
      </c>
      <c r="O17" s="29">
        <v>52.9</v>
      </c>
      <c r="P17" s="29">
        <f t="shared" si="5"/>
        <v>12.100000000000001</v>
      </c>
      <c r="Q17" s="30">
        <f>P17/(P15+P16+P17)</f>
        <v>0.1437054631828979</v>
      </c>
      <c r="R17" s="29">
        <f>(O17*Q17)*0.5</f>
        <v>3.8010095011876492</v>
      </c>
    </row>
    <row r="18" spans="2:18" ht="30" x14ac:dyDescent="0.25">
      <c r="E18" s="28" t="s">
        <v>152</v>
      </c>
      <c r="F18" s="27">
        <f>F15+F16+F17</f>
        <v>4.3559040590405917</v>
      </c>
      <c r="K18" s="28" t="s">
        <v>152</v>
      </c>
      <c r="L18" s="27">
        <f>L15+L16+L17</f>
        <v>7.414595375722544</v>
      </c>
      <c r="Q18" s="28" t="s">
        <v>152</v>
      </c>
      <c r="R18" s="27">
        <f>R15+R16+R17</f>
        <v>9.3834916864608093</v>
      </c>
    </row>
    <row r="20" spans="2:18" ht="30" x14ac:dyDescent="0.25">
      <c r="B20" s="33" t="s">
        <v>158</v>
      </c>
      <c r="C20" s="32" t="s">
        <v>157</v>
      </c>
      <c r="D20" s="32" t="s">
        <v>156</v>
      </c>
      <c r="E20" s="32" t="s">
        <v>155</v>
      </c>
      <c r="F20" s="32" t="s">
        <v>154</v>
      </c>
      <c r="H20" s="33" t="s">
        <v>158</v>
      </c>
      <c r="I20" s="32" t="s">
        <v>157</v>
      </c>
      <c r="J20" s="32" t="s">
        <v>167</v>
      </c>
      <c r="K20" s="32" t="s">
        <v>155</v>
      </c>
      <c r="L20" s="32" t="s">
        <v>154</v>
      </c>
      <c r="N20" s="33" t="s">
        <v>158</v>
      </c>
      <c r="O20" s="32" t="s">
        <v>157</v>
      </c>
      <c r="P20" s="32" t="s">
        <v>166</v>
      </c>
      <c r="Q20" s="32" t="s">
        <v>155</v>
      </c>
      <c r="R20" s="32" t="s">
        <v>154</v>
      </c>
    </row>
    <row r="21" spans="2:18" x14ac:dyDescent="0.25">
      <c r="B21" s="31" t="s">
        <v>153</v>
      </c>
      <c r="C21" s="29">
        <v>5</v>
      </c>
      <c r="D21" s="29">
        <f>55-C21</f>
        <v>50</v>
      </c>
      <c r="E21" s="30">
        <f>D21/(D21+D22+D23)</f>
        <v>0.48971596474045059</v>
      </c>
      <c r="F21" s="29">
        <f>(C21*E21)*0.5</f>
        <v>1.2242899118511266</v>
      </c>
      <c r="H21" s="31" t="s">
        <v>153</v>
      </c>
      <c r="I21" s="29">
        <v>5</v>
      </c>
      <c r="J21" s="29">
        <f>60-I21</f>
        <v>55</v>
      </c>
      <c r="K21" s="30">
        <f>J21/(J21+J22+J23)</f>
        <v>0.46968403074295478</v>
      </c>
      <c r="L21" s="29">
        <f>(I21*K21)*0.5</f>
        <v>1.1742100768573869</v>
      </c>
      <c r="N21" s="31" t="s">
        <v>153</v>
      </c>
      <c r="O21" s="29">
        <v>5</v>
      </c>
      <c r="P21" s="29">
        <f>65-O21</f>
        <v>60</v>
      </c>
      <c r="Q21" s="30">
        <f>P21/(P21+P22+P23)</f>
        <v>0.45420136260408783</v>
      </c>
      <c r="R21" s="29">
        <f>(O21*Q21)*0.5</f>
        <v>1.1355034065102196</v>
      </c>
    </row>
    <row r="22" spans="2:18" x14ac:dyDescent="0.25">
      <c r="B22" s="31" t="s">
        <v>153</v>
      </c>
      <c r="C22" s="29">
        <v>5</v>
      </c>
      <c r="D22" s="29">
        <f>55-C22</f>
        <v>50</v>
      </c>
      <c r="E22" s="30">
        <f>D22/(D21+D22+D23)</f>
        <v>0.48971596474045059</v>
      </c>
      <c r="F22" s="29">
        <f>(C22*E22)*0.5</f>
        <v>1.2242899118511266</v>
      </c>
      <c r="H22" s="31" t="s">
        <v>153</v>
      </c>
      <c r="I22" s="29">
        <v>5</v>
      </c>
      <c r="J22" s="29">
        <f t="shared" ref="J22:J23" si="6">60-I22</f>
        <v>55</v>
      </c>
      <c r="K22" s="30">
        <f>J22/(J21+J22+J23)</f>
        <v>0.46968403074295478</v>
      </c>
      <c r="L22" s="29">
        <f>(I22*K22)*0.5</f>
        <v>1.1742100768573869</v>
      </c>
      <c r="N22" s="31" t="s">
        <v>153</v>
      </c>
      <c r="O22" s="29">
        <v>5</v>
      </c>
      <c r="P22" s="29">
        <f t="shared" ref="P22:P23" si="7">65-O22</f>
        <v>60</v>
      </c>
      <c r="Q22" s="30">
        <f>P22/(P21+P22+P23)</f>
        <v>0.45420136260408783</v>
      </c>
      <c r="R22" s="29">
        <f>(O22*Q22)*0.5</f>
        <v>1.1355034065102196</v>
      </c>
    </row>
    <row r="23" spans="2:18" x14ac:dyDescent="0.25">
      <c r="B23" s="31" t="s">
        <v>159</v>
      </c>
      <c r="C23" s="29">
        <v>52.9</v>
      </c>
      <c r="D23" s="29">
        <f>55-C23</f>
        <v>2.1000000000000014</v>
      </c>
      <c r="E23" s="30">
        <f>D23/(D21+D22+D23)</f>
        <v>2.0568070519098938E-2</v>
      </c>
      <c r="F23" s="29">
        <f>(C23*E23)*0.5</f>
        <v>0.54402546523016693</v>
      </c>
      <c r="H23" s="31" t="s">
        <v>159</v>
      </c>
      <c r="I23" s="29">
        <v>52.9</v>
      </c>
      <c r="J23" s="29">
        <f t="shared" si="6"/>
        <v>7.1000000000000014</v>
      </c>
      <c r="K23" s="30">
        <f>J23/(J21+J22+J23)</f>
        <v>6.0631938514090537E-2</v>
      </c>
      <c r="L23" s="29">
        <f>(I23*K23)*0.5</f>
        <v>1.6037147736976947</v>
      </c>
      <c r="N23" s="31" t="s">
        <v>159</v>
      </c>
      <c r="O23" s="29">
        <v>52.9</v>
      </c>
      <c r="P23" s="29">
        <f t="shared" si="7"/>
        <v>12.100000000000001</v>
      </c>
      <c r="Q23" s="30">
        <f>P23/(P21+P22+P23)</f>
        <v>9.159727479182439E-2</v>
      </c>
      <c r="R23" s="29">
        <f>(O23*Q23)*0.5</f>
        <v>2.422747918243755</v>
      </c>
    </row>
    <row r="24" spans="2:18" ht="30" x14ac:dyDescent="0.25">
      <c r="E24" s="28" t="s">
        <v>152</v>
      </c>
      <c r="F24" s="27">
        <f>F21+F22+F23</f>
        <v>2.9926052889324199</v>
      </c>
      <c r="K24" s="28" t="s">
        <v>152</v>
      </c>
      <c r="L24" s="27">
        <f>L21+L22+L23</f>
        <v>3.9521349274124686</v>
      </c>
      <c r="Q24" s="28" t="s">
        <v>152</v>
      </c>
      <c r="R24" s="27">
        <f>R21+R22+R23</f>
        <v>4.6937547312641943</v>
      </c>
    </row>
    <row r="26" spans="2:18" ht="30" x14ac:dyDescent="0.25">
      <c r="B26" s="33" t="s">
        <v>158</v>
      </c>
      <c r="C26" s="32" t="s">
        <v>157</v>
      </c>
      <c r="D26" s="32" t="s">
        <v>156</v>
      </c>
      <c r="E26" s="32" t="s">
        <v>155</v>
      </c>
      <c r="F26" s="32" t="s">
        <v>154</v>
      </c>
      <c r="H26" s="33" t="s">
        <v>158</v>
      </c>
      <c r="I26" s="32" t="s">
        <v>157</v>
      </c>
      <c r="J26" s="32" t="s">
        <v>167</v>
      </c>
      <c r="K26" s="32" t="s">
        <v>155</v>
      </c>
      <c r="L26" s="32" t="s">
        <v>154</v>
      </c>
      <c r="N26" s="33" t="s">
        <v>158</v>
      </c>
      <c r="O26" s="32" t="s">
        <v>157</v>
      </c>
      <c r="P26" s="32" t="s">
        <v>166</v>
      </c>
      <c r="Q26" s="32" t="s">
        <v>155</v>
      </c>
      <c r="R26" s="32" t="s">
        <v>154</v>
      </c>
    </row>
    <row r="27" spans="2:18" x14ac:dyDescent="0.25">
      <c r="B27" s="31" t="s">
        <v>153</v>
      </c>
      <c r="C27" s="29">
        <v>5</v>
      </c>
      <c r="D27" s="29">
        <f>55-C27</f>
        <v>50</v>
      </c>
      <c r="E27" s="30">
        <f>D27/(D27+D28+D29)</f>
        <v>0.33333333333333331</v>
      </c>
      <c r="F27" s="29">
        <f>(C27*E27)*0.5</f>
        <v>0.83333333333333326</v>
      </c>
      <c r="H27" s="31" t="s">
        <v>153</v>
      </c>
      <c r="I27" s="29">
        <v>5</v>
      </c>
      <c r="J27" s="29">
        <f>60-I27</f>
        <v>55</v>
      </c>
      <c r="K27" s="30">
        <f>J27/(J27+J28+J29)</f>
        <v>0.33333333333333331</v>
      </c>
      <c r="L27" s="29">
        <f>(I27*K27)*0.5</f>
        <v>0.83333333333333326</v>
      </c>
      <c r="N27" s="31" t="s">
        <v>153</v>
      </c>
      <c r="O27" s="29">
        <v>5</v>
      </c>
      <c r="P27" s="29">
        <f>65-O27</f>
        <v>60</v>
      </c>
      <c r="Q27" s="30">
        <f>P27/(P27+P28+P29)</f>
        <v>0.33333333333333331</v>
      </c>
      <c r="R27" s="29">
        <f>(O27*Q27)*0.5</f>
        <v>0.83333333333333326</v>
      </c>
    </row>
    <row r="28" spans="2:18" x14ac:dyDescent="0.25">
      <c r="B28" s="31" t="s">
        <v>153</v>
      </c>
      <c r="C28" s="29">
        <v>5</v>
      </c>
      <c r="D28" s="29">
        <f>55-C28</f>
        <v>50</v>
      </c>
      <c r="E28" s="30">
        <f>D28/(D27+D28+D29)</f>
        <v>0.33333333333333331</v>
      </c>
      <c r="F28" s="29">
        <f>(C28*E28)*0.5</f>
        <v>0.83333333333333326</v>
      </c>
      <c r="H28" s="31" t="s">
        <v>153</v>
      </c>
      <c r="I28" s="29">
        <v>5</v>
      </c>
      <c r="J28" s="29">
        <f t="shared" ref="J28:J29" si="8">60-I28</f>
        <v>55</v>
      </c>
      <c r="K28" s="30">
        <f>J28/(J27+J28+J29)</f>
        <v>0.33333333333333331</v>
      </c>
      <c r="L28" s="29">
        <f>(I28*K28)*0.5</f>
        <v>0.83333333333333326</v>
      </c>
      <c r="N28" s="31" t="s">
        <v>153</v>
      </c>
      <c r="O28" s="29">
        <v>5</v>
      </c>
      <c r="P28" s="29">
        <f t="shared" ref="P28:P29" si="9">65-O28</f>
        <v>60</v>
      </c>
      <c r="Q28" s="30">
        <f>P28/(P27+P28+P29)</f>
        <v>0.33333333333333331</v>
      </c>
      <c r="R28" s="29">
        <f>(O28*Q28)*0.5</f>
        <v>0.83333333333333326</v>
      </c>
    </row>
    <row r="29" spans="2:18" x14ac:dyDescent="0.25">
      <c r="B29" s="31" t="s">
        <v>153</v>
      </c>
      <c r="C29" s="29">
        <v>5</v>
      </c>
      <c r="D29" s="29">
        <f>55-C29</f>
        <v>50</v>
      </c>
      <c r="E29" s="30">
        <f>D29/(D27+D28+D29)</f>
        <v>0.33333333333333331</v>
      </c>
      <c r="F29" s="29">
        <f>(C29*E29)*0.5</f>
        <v>0.83333333333333326</v>
      </c>
      <c r="H29" s="31" t="s">
        <v>153</v>
      </c>
      <c r="I29" s="29">
        <v>5</v>
      </c>
      <c r="J29" s="29">
        <f t="shared" si="8"/>
        <v>55</v>
      </c>
      <c r="K29" s="30">
        <f>J29/(J27+J28+J29)</f>
        <v>0.33333333333333331</v>
      </c>
      <c r="L29" s="29">
        <f>(I29*K29)*0.5</f>
        <v>0.83333333333333326</v>
      </c>
      <c r="N29" s="31" t="s">
        <v>153</v>
      </c>
      <c r="O29" s="29">
        <v>5</v>
      </c>
      <c r="P29" s="29">
        <f t="shared" si="9"/>
        <v>60</v>
      </c>
      <c r="Q29" s="30">
        <f>P29/(P27+P28+P29)</f>
        <v>0.33333333333333331</v>
      </c>
      <c r="R29" s="29">
        <f>(O29*Q29)*0.5</f>
        <v>0.83333333333333326</v>
      </c>
    </row>
    <row r="30" spans="2:18" ht="30" x14ac:dyDescent="0.25">
      <c r="E30" s="28" t="s">
        <v>152</v>
      </c>
      <c r="F30" s="27">
        <f>F27+F28+F29</f>
        <v>2.5</v>
      </c>
      <c r="K30" s="28" t="s">
        <v>152</v>
      </c>
      <c r="L30" s="27">
        <f>L27+L28+L29</f>
        <v>2.5</v>
      </c>
      <c r="Q30" s="28" t="s">
        <v>152</v>
      </c>
      <c r="R30" s="27">
        <f>R27+R28+R29</f>
        <v>2.5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21185-FF47-411A-BB54-E2DF05D59118}">
  <sheetPr codeName="Sheet2"/>
  <dimension ref="B2:H12"/>
  <sheetViews>
    <sheetView showGridLines="0" workbookViewId="0">
      <selection activeCell="K16" sqref="K16"/>
    </sheetView>
  </sheetViews>
  <sheetFormatPr defaultRowHeight="18.75" customHeight="1" x14ac:dyDescent="0.25"/>
  <cols>
    <col min="1" max="1" width="2.7109375" style="35" customWidth="1"/>
    <col min="2" max="2" width="18" style="35" customWidth="1"/>
    <col min="3" max="3" width="17.5703125" style="35" customWidth="1"/>
    <col min="4" max="5" width="9.140625" style="35"/>
    <col min="6" max="6" width="13.28515625" style="35" customWidth="1"/>
    <col min="7" max="8" width="16.5703125" style="35" customWidth="1"/>
    <col min="9" max="16384" width="9.140625" style="35"/>
  </cols>
  <sheetData>
    <row r="2" spans="2:8" ht="18.75" customHeight="1" x14ac:dyDescent="0.35">
      <c r="B2" s="34" t="s">
        <v>168</v>
      </c>
      <c r="F2" s="34" t="s">
        <v>169</v>
      </c>
    </row>
    <row r="3" spans="2:8" ht="18.75" customHeight="1" x14ac:dyDescent="0.25">
      <c r="B3" s="36" t="s">
        <v>13</v>
      </c>
      <c r="C3" s="37">
        <v>110</v>
      </c>
      <c r="G3" s="38" t="s">
        <v>170</v>
      </c>
      <c r="H3" s="38" t="s">
        <v>171</v>
      </c>
    </row>
    <row r="4" spans="2:8" ht="18.75" customHeight="1" x14ac:dyDescent="0.25">
      <c r="B4" s="36" t="s">
        <v>170</v>
      </c>
      <c r="C4" s="39">
        <f>G4</f>
        <v>69.8</v>
      </c>
      <c r="F4" s="37" t="s">
        <v>172</v>
      </c>
      <c r="G4" s="40">
        <v>69.8</v>
      </c>
      <c r="H4" s="40">
        <v>118</v>
      </c>
    </row>
    <row r="5" spans="2:8" ht="18.75" customHeight="1" x14ac:dyDescent="0.25">
      <c r="B5" s="36" t="s">
        <v>173</v>
      </c>
      <c r="C5" s="39">
        <f>H4</f>
        <v>118</v>
      </c>
    </row>
    <row r="6" spans="2:8" ht="18.75" customHeight="1" x14ac:dyDescent="0.25">
      <c r="B6" s="41" t="s">
        <v>18</v>
      </c>
      <c r="C6" s="42">
        <f>IF(C3&gt;0,(C3-C4)*113/C5,"")</f>
        <v>38.496610169491525</v>
      </c>
    </row>
    <row r="8" spans="2:8" ht="18.75" customHeight="1" x14ac:dyDescent="0.35">
      <c r="B8" s="34" t="s">
        <v>174</v>
      </c>
    </row>
    <row r="9" spans="2:8" ht="18.75" customHeight="1" x14ac:dyDescent="0.25">
      <c r="B9" s="36" t="s">
        <v>18</v>
      </c>
      <c r="C9" s="37">
        <v>28</v>
      </c>
    </row>
    <row r="10" spans="2:8" ht="18.75" customHeight="1" x14ac:dyDescent="0.25">
      <c r="B10" s="36" t="s">
        <v>170</v>
      </c>
      <c r="C10" s="39">
        <f>G4</f>
        <v>69.8</v>
      </c>
    </row>
    <row r="11" spans="2:8" ht="18.75" customHeight="1" x14ac:dyDescent="0.25">
      <c r="B11" s="36" t="s">
        <v>173</v>
      </c>
      <c r="C11" s="39">
        <f>H4</f>
        <v>118</v>
      </c>
    </row>
    <row r="12" spans="2:8" ht="18.75" customHeight="1" x14ac:dyDescent="0.25">
      <c r="B12" s="41" t="s">
        <v>13</v>
      </c>
      <c r="C12" s="42">
        <f>IF(C9&gt;0,((C9*C11)/113)+C10,"")</f>
        <v>99.03893805309734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4395B-BA89-4773-8B16-141AA4EFEFD9}">
  <sheetPr codeName="Sheet15"/>
  <dimension ref="B2:G31"/>
  <sheetViews>
    <sheetView showGridLines="0" workbookViewId="0">
      <selection activeCell="G14" sqref="G14"/>
    </sheetView>
  </sheetViews>
  <sheetFormatPr defaultRowHeight="12.75" x14ac:dyDescent="0.2"/>
  <cols>
    <col min="1" max="1" width="9.140625" style="65"/>
    <col min="2" max="2" width="24" style="56" customWidth="1"/>
    <col min="3" max="3" width="13.140625" style="62" customWidth="1"/>
    <col min="4" max="4" width="12.140625" style="58" customWidth="1"/>
    <col min="5" max="16384" width="9.140625" style="65"/>
  </cols>
  <sheetData>
    <row r="2" spans="2:3" x14ac:dyDescent="0.2">
      <c r="B2" s="56" t="s">
        <v>287</v>
      </c>
      <c r="C2" s="57">
        <v>65</v>
      </c>
    </row>
    <row r="3" spans="2:3" x14ac:dyDescent="0.2">
      <c r="B3" s="56" t="s">
        <v>288</v>
      </c>
      <c r="C3" s="57">
        <v>40</v>
      </c>
    </row>
    <row r="4" spans="2:3" x14ac:dyDescent="0.2">
      <c r="B4" s="59" t="s">
        <v>289</v>
      </c>
      <c r="C4" s="57">
        <f>C2-C3</f>
        <v>25</v>
      </c>
    </row>
    <row r="6" spans="2:3" x14ac:dyDescent="0.2">
      <c r="B6" s="56" t="s">
        <v>290</v>
      </c>
      <c r="C6" s="60">
        <v>21</v>
      </c>
    </row>
    <row r="7" spans="2:3" x14ac:dyDescent="0.2">
      <c r="B7" s="61" t="s">
        <v>291</v>
      </c>
      <c r="C7" s="62">
        <f>C6*3</f>
        <v>63</v>
      </c>
    </row>
    <row r="8" spans="2:3" x14ac:dyDescent="0.2">
      <c r="B8" s="56" t="s">
        <v>292</v>
      </c>
      <c r="C8" s="60">
        <v>0</v>
      </c>
    </row>
    <row r="9" spans="2:3" x14ac:dyDescent="0.2">
      <c r="B9" s="61" t="s">
        <v>291</v>
      </c>
      <c r="C9" s="62">
        <f>C8*2</f>
        <v>0</v>
      </c>
    </row>
    <row r="10" spans="2:3" x14ac:dyDescent="0.2">
      <c r="B10" s="59" t="s">
        <v>293</v>
      </c>
      <c r="C10" s="62">
        <f>C7+C9</f>
        <v>63</v>
      </c>
    </row>
    <row r="12" spans="2:3" x14ac:dyDescent="0.2">
      <c r="B12" s="63" t="s">
        <v>294</v>
      </c>
      <c r="C12" s="64">
        <f>C10*C2</f>
        <v>4095</v>
      </c>
    </row>
    <row r="13" spans="2:3" x14ac:dyDescent="0.2">
      <c r="B13" s="63" t="s">
        <v>289</v>
      </c>
      <c r="C13" s="64">
        <f>C10*C4</f>
        <v>1575</v>
      </c>
    </row>
    <row r="15" spans="2:3" x14ac:dyDescent="0.2">
      <c r="B15" s="56" t="s">
        <v>295</v>
      </c>
    </row>
    <row r="16" spans="2:3" x14ac:dyDescent="0.2">
      <c r="B16" s="61" t="s">
        <v>296</v>
      </c>
      <c r="C16" s="57">
        <v>200</v>
      </c>
    </row>
    <row r="17" spans="2:7" x14ac:dyDescent="0.2">
      <c r="B17" s="61" t="s">
        <v>297</v>
      </c>
      <c r="C17" s="57">
        <v>400</v>
      </c>
      <c r="G17" s="66"/>
    </row>
    <row r="18" spans="2:7" x14ac:dyDescent="0.2">
      <c r="B18" s="59" t="s">
        <v>298</v>
      </c>
      <c r="C18" s="67">
        <f>C16+C17</f>
        <v>600</v>
      </c>
    </row>
    <row r="20" spans="2:7" x14ac:dyDescent="0.2">
      <c r="B20" s="56" t="s">
        <v>450</v>
      </c>
      <c r="C20" s="57">
        <v>120</v>
      </c>
    </row>
    <row r="22" spans="2:7" x14ac:dyDescent="0.2">
      <c r="B22" s="56" t="s">
        <v>299</v>
      </c>
    </row>
    <row r="23" spans="2:7" x14ac:dyDescent="0.2">
      <c r="B23" s="61" t="s">
        <v>300</v>
      </c>
      <c r="C23" s="68">
        <v>5</v>
      </c>
    </row>
    <row r="24" spans="2:7" x14ac:dyDescent="0.2">
      <c r="B24" s="61" t="s">
        <v>301</v>
      </c>
      <c r="C24" s="57">
        <v>100</v>
      </c>
    </row>
    <row r="25" spans="2:7" x14ac:dyDescent="0.2">
      <c r="B25" s="61" t="s">
        <v>302</v>
      </c>
      <c r="C25" s="67">
        <f>C23*C24</f>
        <v>500</v>
      </c>
    </row>
    <row r="27" spans="2:7" x14ac:dyDescent="0.2">
      <c r="B27" s="56" t="s">
        <v>303</v>
      </c>
      <c r="C27" s="57">
        <v>0</v>
      </c>
    </row>
    <row r="29" spans="2:7" x14ac:dyDescent="0.2">
      <c r="B29" s="56" t="s">
        <v>304</v>
      </c>
      <c r="C29" s="67">
        <f>C13</f>
        <v>1575</v>
      </c>
    </row>
    <row r="30" spans="2:7" x14ac:dyDescent="0.2">
      <c r="B30" s="69" t="s">
        <v>305</v>
      </c>
      <c r="C30" s="70">
        <f>C18+C20+C25+C27</f>
        <v>1220</v>
      </c>
    </row>
    <row r="31" spans="2:7" x14ac:dyDescent="0.2">
      <c r="B31" s="63" t="s">
        <v>306</v>
      </c>
      <c r="C31" s="64">
        <f>C29-C30</f>
        <v>355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79753-5F6E-4173-BE1F-1BC05F733994}">
  <sheetPr codeName="Sheet6"/>
  <dimension ref="A1:H6"/>
  <sheetViews>
    <sheetView showGridLines="0" workbookViewId="0">
      <selection activeCell="F16" sqref="F16"/>
    </sheetView>
  </sheetViews>
  <sheetFormatPr defaultColWidth="8.85546875" defaultRowHeight="15" x14ac:dyDescent="0.25"/>
  <cols>
    <col min="1" max="1" width="14.28515625" customWidth="1"/>
    <col min="2" max="2" width="11.5703125" customWidth="1"/>
    <col min="3" max="3" width="17.42578125" customWidth="1"/>
    <col min="4" max="4" width="11.5703125" customWidth="1"/>
    <col min="5" max="5" width="17.42578125" customWidth="1"/>
    <col min="6" max="6" width="11.5703125" customWidth="1"/>
    <col min="7" max="7" width="17.42578125" customWidth="1"/>
    <col min="8" max="8" width="12" customWidth="1"/>
  </cols>
  <sheetData>
    <row r="1" spans="1:8" x14ac:dyDescent="0.25">
      <c r="A1" s="47" t="s">
        <v>1</v>
      </c>
      <c r="B1" s="47" t="s">
        <v>2</v>
      </c>
      <c r="C1" s="47" t="s">
        <v>3</v>
      </c>
      <c r="D1" s="47" t="s">
        <v>4</v>
      </c>
      <c r="E1" s="47" t="s">
        <v>5</v>
      </c>
      <c r="F1" s="47" t="s">
        <v>6</v>
      </c>
      <c r="G1" s="47" t="s">
        <v>7</v>
      </c>
      <c r="H1" s="47" t="s">
        <v>8</v>
      </c>
    </row>
    <row r="2" spans="1:8" x14ac:dyDescent="0.25">
      <c r="A2" s="43">
        <v>1505</v>
      </c>
      <c r="B2" s="43"/>
      <c r="C2" s="44" t="s">
        <v>52</v>
      </c>
      <c r="D2" s="43"/>
      <c r="E2" s="44" t="s">
        <v>53</v>
      </c>
      <c r="F2" s="43"/>
      <c r="G2" s="44" t="s">
        <v>54</v>
      </c>
      <c r="H2" s="44">
        <v>79</v>
      </c>
    </row>
    <row r="3" spans="1:8" x14ac:dyDescent="0.25">
      <c r="A3" s="43">
        <v>1608</v>
      </c>
      <c r="B3" s="43"/>
      <c r="C3" s="44" t="s">
        <v>52</v>
      </c>
      <c r="D3" s="43"/>
      <c r="E3" s="44" t="s">
        <v>53</v>
      </c>
      <c r="F3" s="43"/>
      <c r="G3" s="44" t="s">
        <v>54</v>
      </c>
      <c r="H3" s="44">
        <v>73</v>
      </c>
    </row>
    <row r="4" spans="1:8" x14ac:dyDescent="0.25">
      <c r="A4" s="43">
        <v>1705</v>
      </c>
      <c r="B4" s="43"/>
      <c r="C4" s="44" t="s">
        <v>52</v>
      </c>
      <c r="D4" s="43"/>
      <c r="E4" s="44" t="s">
        <v>53</v>
      </c>
      <c r="F4" s="43"/>
      <c r="G4" s="44" t="s">
        <v>54</v>
      </c>
      <c r="H4" s="44">
        <v>73</v>
      </c>
    </row>
    <row r="5" spans="1:8" x14ac:dyDescent="0.25">
      <c r="A5" s="43">
        <v>1805</v>
      </c>
      <c r="B5" s="43"/>
      <c r="C5" s="44" t="s">
        <v>52</v>
      </c>
      <c r="D5" s="43"/>
      <c r="E5" s="44" t="s">
        <v>53</v>
      </c>
      <c r="F5" s="43"/>
      <c r="G5" s="44" t="s">
        <v>54</v>
      </c>
      <c r="H5" s="44">
        <v>73</v>
      </c>
    </row>
    <row r="6" spans="1:8" x14ac:dyDescent="0.25">
      <c r="A6" s="43">
        <v>1808</v>
      </c>
      <c r="B6" s="43"/>
      <c r="C6" s="44" t="s">
        <v>52</v>
      </c>
      <c r="D6" s="43"/>
      <c r="E6" s="44" t="s">
        <v>53</v>
      </c>
      <c r="F6" s="43"/>
      <c r="G6" s="44" t="s">
        <v>55</v>
      </c>
      <c r="H6" s="44">
        <v>77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Tournament</vt:lpstr>
      <vt:lpstr>Players</vt:lpstr>
      <vt:lpstr>Mail Teams</vt:lpstr>
      <vt:lpstr>Historical</vt:lpstr>
      <vt:lpstr>Ratings</vt:lpstr>
      <vt:lpstr>Evaluation</vt:lpstr>
      <vt:lpstr>Calculator</vt:lpstr>
      <vt:lpstr>Expenses</vt:lpstr>
      <vt:lpstr>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 Kadura</dc:creator>
  <cp:lastModifiedBy>Rodney Kadura</cp:lastModifiedBy>
  <dcterms:created xsi:type="dcterms:W3CDTF">2019-08-08T03:24:19Z</dcterms:created>
  <dcterms:modified xsi:type="dcterms:W3CDTF">2024-06-07T05:02:23Z</dcterms:modified>
</cp:coreProperties>
</file>